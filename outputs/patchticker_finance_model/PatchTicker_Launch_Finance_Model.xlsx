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4adbc1c2b64f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5f5fb2d8ef5a4539"/>
    <x:sheet xmlns:r="http://schemas.openxmlformats.org/officeDocument/2006/relationships" name="Stripe Fees" sheetId="2" r:id="Rede76c6849bb4029"/>
    <x:sheet xmlns:r="http://schemas.openxmlformats.org/officeDocument/2006/relationships" name="Ads ROI" sheetId="3" r:id="Re9169c144ff3488e"/>
    <x:sheet xmlns:r="http://schemas.openxmlformats.org/officeDocument/2006/relationships" name="Launch Capital" sheetId="4" r:id="Rd930b42b1f4a4384"/>
    <x:sheet xmlns:r="http://schemas.openxmlformats.org/officeDocument/2006/relationships" name="Summary" sheetId="5" r:id="Rc62cbd4f43d54e74"/>
    <x:sheet xmlns:r="http://schemas.openxmlformats.org/officeDocument/2006/relationships" name="Checks" sheetId="6" r:id="R26ffad89822e492b"/>
    <x:sheet xmlns:r="http://schemas.openxmlformats.org/officeDocument/2006/relationships" name="Sources" sheetId="7" r:id="R795559f2db6d4f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&quot;$&quot;#,##0.00"/>
    <x:numFmt numFmtId="201" formatCode="0.00%"/>
    <x:numFmt numFmtId="202" formatCode="#,##0"/>
    <x:numFmt numFmtId="203" formatCode="0.0"/>
    <x:numFmt numFmtId="204" formatCode="0.0%"/>
    <x:numFmt numFmtId="205" formatCode="&quot;$&quot;#,##0"/>
    <x:numFmt numFmtId="206" formatCode="0.00x"/>
    <x:numFmt numFmtId="207" formatCode="@"/>
    <x:numFmt numFmtId="208" formatCode="0"/>
  </x:numFmts>
  <x:fonts count="19">
    <x:font>
      <x:sz val="11"/>
      <x:name val="Carlito"/>
    </x:font>
    <x:font>
      <x:sz val="11"/>
      <x:color rgb="FF16C96E"/>
      <x:name val="Carlito"/>
    </x:font>
    <x:font>
      <x:b/>
      <x:sz val="11"/>
      <x:color rgb="FF16C96E"/>
      <x:name val="Carlito"/>
    </x:font>
    <x:font>
      <x:b/>
      <x:sz val="18"/>
      <x:color rgb="FF16C96E"/>
      <x:name val="Carlito"/>
    </x:font>
    <x:font>
      <x:sz val="11"/>
      <x:color rgb="FFD9EAD3"/>
      <x:name val="Carlito"/>
    </x:font>
    <x:font>
      <x:sz val="10"/>
      <x:color rgb="FFD9EAD3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8"/>
      <x:color rgb="FF16C96E"/>
      <x:name val="Aptos"/>
    </x:font>
    <x:font>
      <x:sz val="10"/>
      <x:color rgb="FFD9EAD3"/>
      <x:name val="Aptos"/>
    </x:font>
    <x:font>
      <x:sz val="11"/>
      <x:name val="Aptos"/>
    </x:font>
    <x:font>
      <x:b/>
      <x:sz val="11"/>
      <x:color rgb="FF000000"/>
      <x:name val="Aptos"/>
    </x:font>
    <x:font>
      <x:b/>
      <x:sz val="11"/>
      <x:name val="Aptos"/>
    </x:font>
    <x:font>
      <x:sz val="11"/>
      <x:color rgb="FFF5F5F5"/>
      <x:name val="Carlito"/>
    </x:font>
    <x:font>
      <x:b/>
      <x:sz val="11"/>
      <x:color rgb="FFF5F5F5"/>
      <x:name val="Carlito"/>
    </x:font>
    <x:font>
      <x:b/>
      <x:sz val="11"/>
      <x:color rgb="FFF5F5F5"/>
      <x:name val="Aptos"/>
    </x:font>
    <x:font>
      <x:sz val="11"/>
      <x:color rgb="FF1155CC"/>
      <x:name val="Carlito"/>
    </x:font>
    <x:font>
      <x:sz val="11"/>
      <x:color rgb="FF1155C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0A0A0A"/>
      </x:patternFill>
    </x:fill>
    <x:fill>
      <x:patternFill patternType="solid">
        <x:fgColor rgb="FF16C96E"/>
      </x:patternFill>
    </x:fill>
    <x:fill>
      <x:patternFill patternType="solid">
        <x:fgColor rgb="FFFFF2CC"/>
      </x:patternFill>
    </x:fill>
    <x:fill>
      <x:patternFill patternType="solid">
        <x:fgColor rgb="FF111111"/>
      </x:patternFill>
    </x:fill>
    <x:fill>
      <x:patternFill patternType="solid">
        <x:fgColor rgb="FFE2F0D9"/>
      </x:patternFill>
    </x:fill>
    <x:fill>
      <x:patternFill patternType="solid">
        <x:fgColor rgb="FFE7F3FF"/>
      </x:patternFill>
    </x:fill>
  </x:fills>
  <x:borders count="14">
    <x:border/>
    <x:border>
      <x:left style="thin">
        <x:color rgb="FFD9EAD3"/>
      </x:left>
      <x:top style="thin">
        <x:color rgb="FFD9EAD3"/>
      </x:top>
    </x:border>
    <x:border>
      <x:top style="thin">
        <x:color rgb="FFD9EAD3"/>
      </x:top>
    </x:border>
    <x:border>
      <x:right style="thin">
        <x:color rgb="FFD9EAD3"/>
      </x:right>
      <x:top style="thin">
        <x:color rgb="FFD9EAD3"/>
      </x:top>
    </x:border>
    <x:border>
      <x:left style="thin">
        <x:color rgb="FFD9EAD3"/>
      </x:left>
    </x:border>
    <x:border>
      <x:right style="thin">
        <x:color rgb="FFD9EAD3"/>
      </x:right>
    </x:border>
    <x:border>
      <x:left style="thin">
        <x:color rgb="FFD9EAD3"/>
      </x:left>
      <x:bottom style="thin">
        <x:color rgb="FFD9EAD3"/>
      </x:bottom>
    </x:border>
    <x:border>
      <x:bottom style="thin">
        <x:color rgb="FFD9EAD3"/>
      </x:bottom>
    </x:border>
    <x:border>
      <x:right style="thin">
        <x:color rgb="FFD9EAD3"/>
      </x:right>
      <x:bottom style="thin">
        <x:color rgb="FFD9EAD3"/>
      </x:bottom>
    </x:border>
    <x:border>
      <x:left style="thin">
        <x:color rgb="FF333333"/>
      </x:left>
      <x:top style="thin">
        <x:color rgb="FF333333"/>
      </x:top>
      <x:bottom style="thin">
        <x:color rgb="FF333333"/>
      </x:bottom>
    </x:border>
    <x:border>
      <x:top style="thin">
        <x:color rgb="FF333333"/>
      </x:top>
      <x:bottom style="thin">
        <x:color rgb="FF333333"/>
      </x:bottom>
    </x:border>
    <x:border>
      <x:right style="thin">
        <x:color rgb="FF333333"/>
      </x:right>
      <x:top style="thin">
        <x:color rgb="FF333333"/>
      </x:top>
      <x:bottom style="thin">
        <x:color rgb="FF333333"/>
      </x:bottom>
    </x:border>
    <x:border>
      <x:left style="thin">
        <x:color rgb="FFD9EAD3"/>
      </x:left>
      <x:top style="thin">
        <x:color rgb="FF333333"/>
      </x:top>
      <x:bottom style="thin">
        <x:color rgb="FF333333"/>
      </x:bottom>
    </x:border>
    <x:border>
      <x:right style="thin">
        <x:color rgb="FFD9EAD3"/>
      </x:right>
      <x:top style="thin">
        <x:color rgb="FF333333"/>
      </x:top>
      <x:bottom style="thin">
        <x:color rgb="FF333333"/>
      </x:bottom>
    </x:border>
  </x:borders>
  <x:cellStyleXfs count="1">
    <x:xf numFmtId="0" fontId="0" fillId="0" borderId="0"/>
  </x:cellStyleXfs>
  <x:cellXfs count="1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7" fillId="3" borderId="0" xfId="0" applyNumberFormat="1" applyFont="1" applyFill="1" applyBorder="1"/>
    <x:xf numFmtId="0" fontId="8" fillId="0" borderId="0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/>
    <x:xf numFmtId="201" fontId="0" fillId="4" borderId="0" xfId="0" applyNumberFormat="1" applyFont="1" applyFill="1" applyBorder="1"/>
    <x:xf numFmtId="202" fontId="0" fillId="4" borderId="0" xfId="0" applyNumberFormat="1" applyFont="1" applyFill="1" applyBorder="1"/>
    <x:xf numFmtId="203" fontId="0" fillId="4" borderId="0" xfId="0" applyNumberFormat="1" applyFont="1" applyFill="1" applyBorder="1"/>
    <x:xf numFmtId="204" fontId="0" fillId="4" borderId="0" xfId="0" applyNumberFormat="1" applyFont="1" applyFill="1" applyBorder="1"/>
    <x:xf numFmtId="205" fontId="0" fillId="4" borderId="0" xfId="0" applyNumberFormat="1" applyFont="1" applyFill="1" applyBorder="1"/>
    <x:xf numFmtId="0" fontId="9" fillId="2" borderId="0" xfId="0" applyNumberFormat="1" applyFont="1" applyFill="1" applyBorder="1"/>
    <x:xf numFmtId="0" fontId="10" fillId="2" borderId="0" xfId="0" applyNumberFormat="1" applyFont="1" applyFill="1" applyBorder="1"/>
    <x:xf numFmtId="0" fontId="11" fillId="0" borderId="0" xfId="0" applyNumberFormat="1" applyFont="1" applyFill="1" applyBorder="1"/>
    <x:xf numFmtId="0" fontId="12" fillId="3" borderId="0" xfId="0" applyNumberFormat="1" applyFont="1" applyFill="1" applyBorder="1"/>
    <x:xf numFmtId="0" fontId="13" fillId="0" borderId="0" xfId="0" applyNumberFormat="1" applyFont="1" applyFill="1" applyBorder="1"/>
    <x:xf numFmtId="200" fontId="11" fillId="4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2" fillId="4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201" fontId="11" fillId="4" borderId="0" xfId="0" applyNumberFormat="1" applyFont="1" applyFill="1" applyBorder="1"/>
    <x:xf numFmtId="202" fontId="11" fillId="4" borderId="0" xfId="0" applyNumberFormat="1" applyFont="1" applyFill="1" applyBorder="1"/>
    <x:xf numFmtId="203" fontId="11" fillId="4" borderId="0" xfId="0" applyNumberFormat="1" applyFont="1" applyFill="1" applyBorder="1"/>
    <x:xf numFmtId="204" fontId="11" fillId="4" borderId="0" xfId="0" applyNumberFormat="1" applyFont="1" applyFill="1" applyBorder="1"/>
    <x:xf numFmtId="205" fontId="11" fillId="4" borderId="0" xfId="0" applyNumberFormat="1" applyFont="1" applyFill="1" applyBorder="1"/>
    <x:xf numFmtId="0" fontId="9" fillId="2" borderId="0" xfId="0" applyNumberFormat="1" applyFont="1" applyFill="1" applyBorder="1" applyAlignment="1">
      <x:alignment vertical="top"/>
    </x:xf>
    <x:xf numFmtId="0" fontId="10" fillId="2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/>
    </x:xf>
    <x:xf numFmtId="0" fontId="12" fillId="3" borderId="0" xfId="0" applyNumberFormat="1" applyFont="1" applyFill="1" applyBorder="1" applyAlignment="1">
      <x:alignment vertical="top"/>
    </x:xf>
    <x:xf numFmtId="0" fontId="13" fillId="0" borderId="0" xfId="0" applyNumberFormat="1" applyFont="1" applyFill="1" applyBorder="1" applyAlignment="1">
      <x:alignment vertical="top"/>
    </x:xf>
    <x:xf numFmtId="200" fontId="11" fillId="4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1" fillId="4" borderId="0" xfId="0" applyNumberFormat="1" applyFont="1" applyFill="1" applyBorder="1" applyAlignment="1">
      <x:alignment vertical="top"/>
    </x:xf>
    <x:xf numFmtId="0" fontId="12" fillId="4" borderId="0" xfId="0" applyNumberFormat="1" applyFont="1" applyFill="1" applyBorder="1" applyAlignment="1">
      <x:alignment vertical="top"/>
    </x:xf>
    <x:xf numFmtId="0" fontId="12" fillId="3" borderId="0" xfId="0" applyNumberFormat="1" applyFont="1" applyFill="1" applyBorder="1" applyAlignment="1">
      <x:alignment vertical="top" wrapText="1"/>
    </x:xf>
    <x:xf numFmtId="201" fontId="11" fillId="4" borderId="0" xfId="0" applyNumberFormat="1" applyFont="1" applyFill="1" applyBorder="1" applyAlignment="1">
      <x:alignment vertical="top"/>
    </x:xf>
    <x:xf numFmtId="202" fontId="11" fillId="4" borderId="0" xfId="0" applyNumberFormat="1" applyFont="1" applyFill="1" applyBorder="1" applyAlignment="1">
      <x:alignment vertical="top"/>
    </x:xf>
    <x:xf numFmtId="203" fontId="11" fillId="4" borderId="0" xfId="0" applyNumberFormat="1" applyFont="1" applyFill="1" applyBorder="1" applyAlignment="1">
      <x:alignment vertical="top"/>
    </x:xf>
    <x:xf numFmtId="204" fontId="11" fillId="4" borderId="0" xfId="0" applyNumberFormat="1" applyFont="1" applyFill="1" applyBorder="1" applyAlignment="1">
      <x:alignment vertical="top"/>
    </x:xf>
    <x:xf numFmtId="205" fontId="11" fillId="4" borderId="0" xfId="0" applyNumberFormat="1" applyFont="1" applyFill="1" applyBorder="1" applyAlignment="1">
      <x:alignment vertical="top"/>
    </x:xf>
    <x:xf numFmtId="0" fontId="9" fillId="2" borderId="1" xfId="0" applyNumberFormat="1" applyFont="1" applyFill="1" applyBorder="1" applyAlignment="1">
      <x:alignment vertical="top"/>
    </x:xf>
    <x:xf numFmtId="0" fontId="9" fillId="2" borderId="2" xfId="0" applyNumberFormat="1" applyFont="1" applyFill="1" applyBorder="1" applyAlignment="1">
      <x:alignment vertical="top"/>
    </x:xf>
    <x:xf numFmtId="0" fontId="9" fillId="2" borderId="3" xfId="0" applyNumberFormat="1" applyFont="1" applyFill="1" applyBorder="1" applyAlignment="1">
      <x:alignment vertical="top"/>
    </x:xf>
    <x:xf numFmtId="0" fontId="10" fillId="2" borderId="4" xfId="0" applyNumberFormat="1" applyFont="1" applyFill="1" applyBorder="1" applyAlignment="1">
      <x:alignment vertical="top"/>
    </x:xf>
    <x:xf numFmtId="0" fontId="10" fillId="2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 applyAlignment="1">
      <x:alignment vertical="top"/>
    </x:xf>
    <x:xf numFmtId="0" fontId="11" fillId="0" borderId="5" xfId="0" applyNumberFormat="1" applyFont="1" applyFill="1" applyBorder="1" applyAlignment="1">
      <x:alignment vertical="top"/>
    </x:xf>
    <x:xf numFmtId="0" fontId="12" fillId="3" borderId="4" xfId="0" applyNumberFormat="1" applyFont="1" applyFill="1" applyBorder="1" applyAlignment="1">
      <x:alignment vertical="top"/>
    </x:xf>
    <x:xf numFmtId="0" fontId="13" fillId="0" borderId="4" xfId="0" applyNumberFormat="1" applyFont="1" applyFill="1" applyBorder="1" applyAlignment="1">
      <x:alignment vertical="top"/>
    </x:xf>
    <x:xf numFmtId="0" fontId="13" fillId="0" borderId="6" xfId="0" applyNumberFormat="1" applyFont="1" applyFill="1" applyBorder="1" applyAlignment="1">
      <x:alignment vertical="top"/>
    </x:xf>
    <x:xf numFmtId="0" fontId="11" fillId="4" borderId="7" xfId="0" applyNumberFormat="1" applyFont="1" applyFill="1" applyBorder="1" applyAlignment="1">
      <x:alignment vertical="top"/>
    </x:xf>
    <x:xf numFmtId="0" fontId="11" fillId="0" borderId="7" xfId="0" applyNumberFormat="1" applyFont="1" applyFill="1" applyBorder="1" applyAlignment="1">
      <x:alignment vertical="top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/>
    </x:xf>
    <x:xf numFmtId="0" fontId="0" fillId="5" borderId="0" xfId="0" applyNumberFormat="1" applyFont="1" applyFill="1" applyBorder="1"/>
    <x:xf numFmtId="0" fontId="14" fillId="5" borderId="0" xfId="0" applyNumberFormat="1" applyFont="1" applyFill="1" applyBorder="1"/>
    <x:xf numFmtId="0" fontId="15" fillId="5" borderId="0" xfId="0" applyNumberFormat="1" applyFont="1" applyFill="1" applyBorder="1"/>
    <x:xf numFmtId="0" fontId="15" fillId="5" borderId="9" xfId="0" applyNumberFormat="1" applyFont="1" applyFill="1" applyBorder="1"/>
    <x:xf numFmtId="0" fontId="15" fillId="5" borderId="10" xfId="0" applyNumberFormat="1" applyFont="1" applyFill="1" applyBorder="1"/>
    <x:xf numFmtId="0" fontId="15" fillId="5" borderId="11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8" fillId="6" borderId="0" xfId="0" applyNumberFormat="1" applyFont="1" applyFill="1" applyBorder="1"/>
    <x:xf numFmtId="201" fontId="8" fillId="6" borderId="0" xfId="0" applyNumberFormat="1" applyFont="1" applyFill="1" applyBorder="1"/>
    <x:xf numFmtId="0" fontId="15" fillId="5" borderId="9" xfId="0" applyNumberFormat="1" applyFont="1" applyFill="1" applyBorder="1" applyAlignment="1">
      <x:alignment wrapText="1"/>
    </x:xf>
    <x:xf numFmtId="0" fontId="15" fillId="5" borderId="10" xfId="0" applyNumberFormat="1" applyFont="1" applyFill="1" applyBorder="1" applyAlignment="1">
      <x:alignment wrapText="1"/>
    </x:xf>
    <x:xf numFmtId="0" fontId="15" fillId="5" borderId="11" xfId="0" applyNumberFormat="1" applyFont="1" applyFill="1" applyBorder="1" applyAlignment="1">
      <x:alignment wrapText="1"/>
    </x:xf>
    <x:xf numFmtId="0" fontId="16" fillId="5" borderId="9" xfId="0" applyNumberFormat="1" applyFont="1" applyFill="1" applyBorder="1" applyAlignment="1">
      <x:alignment wrapText="1"/>
    </x:xf>
    <x:xf numFmtId="0" fontId="16" fillId="5" borderId="10" xfId="0" applyNumberFormat="1" applyFont="1" applyFill="1" applyBorder="1" applyAlignment="1">
      <x:alignment wrapText="1"/>
    </x:xf>
    <x:xf numFmtId="0" fontId="16" fillId="5" borderId="11" xfId="0" applyNumberFormat="1" applyFont="1" applyFill="1" applyBorder="1" applyAlignment="1">
      <x:alignment wrapText="1"/>
    </x:xf>
    <x:xf numFmtId="200" fontId="11" fillId="0" borderId="0" xfId="0" applyNumberFormat="1" applyFont="1" applyFill="1" applyBorder="1"/>
    <x:xf numFmtId="200" fontId="13" fillId="6" borderId="0" xfId="0" applyNumberFormat="1" applyFont="1" applyFill="1" applyBorder="1"/>
    <x:xf numFmtId="201" fontId="13" fillId="6" borderId="0" xfId="0" applyNumberFormat="1" applyFont="1" applyFill="1" applyBorder="1"/>
    <x:xf numFmtId="0" fontId="16" fillId="5" borderId="9" xfId="0" applyNumberFormat="1" applyFont="1" applyFill="1" applyBorder="1"/>
    <x:xf numFmtId="0" fontId="16" fillId="5" borderId="10" xfId="0" applyNumberFormat="1" applyFont="1" applyFill="1" applyBorder="1"/>
    <x:xf numFmtId="0" fontId="16" fillId="5" borderId="11" xfId="0" applyNumberFormat="1" applyFont="1" applyFill="1" applyBorder="1"/>
    <x:xf numFmtId="201" fontId="11" fillId="0" borderId="0" xfId="0" applyNumberFormat="1" applyFont="1" applyFill="1" applyBorder="1"/>
    <x:xf numFmtId="0" fontId="16" fillId="5" borderId="9" xfId="0" applyNumberFormat="1" applyFont="1" applyFill="1" applyBorder="1" applyAlignment="1">
      <x:alignment vertical="top" wrapText="1"/>
    </x:xf>
    <x:xf numFmtId="0" fontId="16" fillId="5" borderId="10" xfId="0" applyNumberFormat="1" applyFont="1" applyFill="1" applyBorder="1" applyAlignment="1">
      <x:alignment vertical="top" wrapText="1"/>
    </x:xf>
    <x:xf numFmtId="0" fontId="16" fillId="5" borderId="11" xfId="0" applyNumberFormat="1" applyFont="1" applyFill="1" applyBorder="1" applyAlignment="1">
      <x:alignment vertical="top" wrapText="1"/>
    </x:xf>
    <x:xf numFmtId="200" fontId="11" fillId="0" borderId="0" xfId="0" applyNumberFormat="1" applyFont="1" applyFill="1" applyBorder="1" applyAlignment="1">
      <x:alignment vertical="top"/>
    </x:xf>
    <x:xf numFmtId="200" fontId="13" fillId="6" borderId="0" xfId="0" applyNumberFormat="1" applyFont="1" applyFill="1" applyBorder="1" applyAlignment="1">
      <x:alignment vertical="top"/>
    </x:xf>
    <x:xf numFmtId="201" fontId="13" fillId="6" borderId="0" xfId="0" applyNumberFormat="1" applyFont="1" applyFill="1" applyBorder="1" applyAlignment="1">
      <x:alignment vertical="top"/>
    </x:xf>
    <x:xf numFmtId="0" fontId="16" fillId="5" borderId="9" xfId="0" applyNumberFormat="1" applyFont="1" applyFill="1" applyBorder="1" applyAlignment="1">
      <x:alignment vertical="top"/>
    </x:xf>
    <x:xf numFmtId="0" fontId="16" fillId="5" borderId="10" xfId="0" applyNumberFormat="1" applyFont="1" applyFill="1" applyBorder="1" applyAlignment="1">
      <x:alignment vertical="top"/>
    </x:xf>
    <x:xf numFmtId="0" fontId="16" fillId="5" borderId="11" xfId="0" applyNumberFormat="1" applyFont="1" applyFill="1" applyBorder="1" applyAlignment="1">
      <x:alignment vertical="top"/>
    </x:xf>
    <x:xf numFmtId="201" fontId="11" fillId="0" borderId="0" xfId="0" applyNumberFormat="1" applyFont="1" applyFill="1" applyBorder="1" applyAlignment="1">
      <x:alignment vertical="top"/>
    </x:xf>
    <x:xf numFmtId="0" fontId="11" fillId="0" borderId="3" xfId="0" applyNumberFormat="1" applyFont="1" applyFill="1" applyBorder="1" applyAlignment="1">
      <x:alignment vertical="top"/>
    </x:xf>
    <x:xf numFmtId="0" fontId="16" fillId="5" borderId="12" xfId="0" applyNumberFormat="1" applyFont="1" applyFill="1" applyBorder="1" applyAlignment="1">
      <x:alignment vertical="top" wrapText="1"/>
    </x:xf>
    <x:xf numFmtId="0" fontId="16" fillId="5" borderId="13" xfId="0" applyNumberFormat="1" applyFont="1" applyFill="1" applyBorder="1" applyAlignment="1">
      <x:alignment vertical="top" wrapText="1"/>
    </x:xf>
    <x:xf numFmtId="200" fontId="13" fillId="6" borderId="5" xfId="0" applyNumberFormat="1" applyFont="1" applyFill="1" applyBorder="1" applyAlignment="1">
      <x:alignment vertical="top"/>
    </x:xf>
    <x:xf numFmtId="0" fontId="16" fillId="5" borderId="12" xfId="0" applyNumberFormat="1" applyFont="1" applyFill="1" applyBorder="1" applyAlignment="1">
      <x:alignment vertical="top"/>
    </x:xf>
    <x:xf numFmtId="201" fontId="11" fillId="0" borderId="7" xfId="0" applyNumberFormat="1" applyFont="1" applyFill="1" applyBorder="1" applyAlignment="1">
      <x:alignment vertical="top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6" fontId="0" fillId="0" borderId="0" xfId="0" applyNumberFormat="1" applyFont="1" applyFill="1" applyBorder="1"/>
    <x:xf numFmtId="200" fontId="0" fillId="7" borderId="0" xfId="0" applyNumberFormat="1" applyFont="1" applyFill="1" applyBorder="1"/>
    <x:xf numFmtId="202" fontId="0" fillId="7" borderId="0" xfId="0" applyNumberFormat="1" applyFont="1" applyFill="1" applyBorder="1"/>
    <x:xf numFmtId="206" fontId="0" fillId="7" borderId="0" xfId="0" applyNumberFormat="1" applyFont="1" applyFill="1" applyBorder="1"/>
    <x:xf numFmtId="202" fontId="11" fillId="0" borderId="0" xfId="0" applyNumberFormat="1" applyFont="1" applyFill="1" applyBorder="1"/>
    <x:xf numFmtId="203" fontId="11" fillId="0" borderId="0" xfId="0" applyNumberFormat="1" applyFont="1" applyFill="1" applyBorder="1"/>
    <x:xf numFmtId="200" fontId="11" fillId="6" borderId="0" xfId="0" applyNumberFormat="1" applyFont="1" applyFill="1" applyBorder="1"/>
    <x:xf numFmtId="200" fontId="11" fillId="7" borderId="0" xfId="0" applyNumberFormat="1" applyFont="1" applyFill="1" applyBorder="1"/>
    <x:xf numFmtId="202" fontId="11" fillId="7" borderId="0" xfId="0" applyNumberFormat="1" applyFont="1" applyFill="1" applyBorder="1"/>
    <x:xf numFmtId="206" fontId="11" fillId="7" borderId="0" xfId="0" applyNumberFormat="1" applyFont="1" applyFill="1" applyBorder="1"/>
    <x:xf numFmtId="202" fontId="11" fillId="0" borderId="0" xfId="0" applyNumberFormat="1" applyFont="1" applyFill="1" applyBorder="1" applyAlignment="1">
      <x:alignment vertical="top"/>
    </x:xf>
    <x:xf numFmtId="203" fontId="11" fillId="0" borderId="0" xfId="0" applyNumberFormat="1" applyFont="1" applyFill="1" applyBorder="1" applyAlignment="1">
      <x:alignment vertical="top"/>
    </x:xf>
    <x:xf numFmtId="200" fontId="11" fillId="6" borderId="0" xfId="0" applyNumberFormat="1" applyFont="1" applyFill="1" applyBorder="1" applyAlignment="1">
      <x:alignment vertical="top"/>
    </x:xf>
    <x:xf numFmtId="200" fontId="11" fillId="7" borderId="0" xfId="0" applyNumberFormat="1" applyFont="1" applyFill="1" applyBorder="1" applyAlignment="1">
      <x:alignment vertical="top"/>
    </x:xf>
    <x:xf numFmtId="202" fontId="11" fillId="7" borderId="0" xfId="0" applyNumberFormat="1" applyFont="1" applyFill="1" applyBorder="1" applyAlignment="1">
      <x:alignment vertical="top"/>
    </x:xf>
    <x:xf numFmtId="206" fontId="11" fillId="7" borderId="0" xfId="0" applyNumberFormat="1" applyFont="1" applyFill="1" applyBorder="1" applyAlignment="1">
      <x:alignment vertical="top"/>
    </x:xf>
    <x:xf numFmtId="0" fontId="11" fillId="0" borderId="2" xfId="0" applyNumberFormat="1" applyFont="1" applyFill="1" applyBorder="1" applyAlignment="1">
      <x:alignment vertical="top"/>
    </x:xf>
    <x:xf numFmtId="0" fontId="16" fillId="5" borderId="13" xfId="0" applyNumberFormat="1" applyFont="1" applyFill="1" applyBorder="1" applyAlignment="1">
      <x:alignment vertical="top"/>
    </x:xf>
    <x:xf numFmtId="206" fontId="11" fillId="7" borderId="5" xfId="0" applyNumberFormat="1" applyFont="1" applyFill="1" applyBorder="1" applyAlignment="1">
      <x:alignment vertical="top"/>
    </x:xf>
    <x:xf numFmtId="0" fontId="11" fillId="0" borderId="4" xfId="0" applyNumberFormat="1" applyFont="1" applyFill="1" applyBorder="1" applyAlignment="1">
      <x:alignment vertical="top" wrapText="1"/>
    </x:xf>
    <x:xf numFmtId="0" fontId="11" fillId="0" borderId="6" xfId="0" applyNumberFormat="1" applyFont="1" applyFill="1" applyBorder="1" applyAlignment="1">
      <x:alignment vertical="top" wrapText="1"/>
    </x:xf>
    <x:xf numFmtId="205" fontId="0" fillId="0" borderId="0" xfId="0" applyNumberFormat="1" applyFont="1" applyFill="1" applyBorder="1"/>
    <x:xf numFmtId="205" fontId="0" fillId="6" borderId="0" xfId="0" applyNumberFormat="1" applyFont="1" applyFill="1" applyBorder="1"/>
    <x:xf numFmtId="205" fontId="8" fillId="6" borderId="0" xfId="0" applyNumberFormat="1" applyFont="1" applyFill="1" applyBorder="1"/>
    <x:xf numFmtId="205" fontId="13" fillId="6" borderId="0" xfId="0" applyNumberFormat="1" applyFont="1" applyFill="1" applyBorder="1"/>
    <x:xf numFmtId="205" fontId="13" fillId="6" borderId="0" xfId="0" applyNumberFormat="1" applyFont="1" applyFill="1" applyBorder="1" applyAlignment="1">
      <x:alignment vertical="top"/>
    </x:xf>
    <x:xf numFmtId="207" fontId="0" fillId="0" borderId="0" xfId="0" applyNumberFormat="1" applyFont="1" applyFill="1" applyBorder="1"/>
    <x:xf numFmtId="207" fontId="0" fillId="6" borderId="0" xfId="0" applyNumberFormat="1" applyFont="1" applyFill="1" applyBorder="1"/>
    <x:xf numFmtId="207" fontId="8" fillId="6" borderId="0" xfId="0" applyNumberFormat="1" applyFont="1" applyFill="1" applyBorder="1"/>
    <x:xf numFmtId="207" fontId="13" fillId="6" borderId="0" xfId="0" applyNumberFormat="1" applyFont="1" applyFill="1" applyBorder="1"/>
    <x:xf numFmtId="205" fontId="11" fillId="0" borderId="0" xfId="0" applyNumberFormat="1" applyFont="1" applyFill="1" applyBorder="1"/>
    <x:xf numFmtId="207" fontId="13" fillId="6" borderId="0" xfId="0" applyNumberFormat="1" applyFont="1" applyFill="1" applyBorder="1" applyAlignment="1">
      <x:alignment vertical="top"/>
    </x:xf>
    <x:xf numFmtId="205" fontId="11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/>
    <x:xf numFmtId="208" fontId="11" fillId="0" borderId="0" xfId="0" applyNumberFormat="1" applyFont="1" applyFill="1" applyBorder="1"/>
    <x:xf numFmtId="208" fontId="11" fillId="0" borderId="0" xfId="0" applyNumberFormat="1" applyFont="1" applyFill="1" applyBorder="1" applyAlignment="1">
      <x:alignment vertical="top"/>
    </x:xf>
    <x:xf numFmtId="208" fontId="11" fillId="0" borderId="7" xfId="0" applyNumberFormat="1" applyFont="1" applyFill="1" applyBorder="1" applyAlignment="1">
      <x:alignment vertical="top"/>
    </x:xf>
    <x:xf numFmtId="0" fontId="13" fillId="0" borderId="7" xfId="0" applyNumberFormat="1" applyFont="1" applyFill="1" applyBorder="1" applyAlignment="1">
      <x:alignment vertical="top"/>
    </x:xf>
    <x:xf numFmtId="0" fontId="17" fillId="0" borderId="0" xfId="0" applyNumberFormat="1" applyFont="1" applyFill="1" applyBorder="1"/>
    <x:xf numFmtId="0" fontId="17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wrapText="1"/>
    </x:xf>
    <x:xf numFmtId="0" fontId="18" fillId="0" borderId="0" xfId="0" applyNumberFormat="1" applyFont="1" applyFill="1" applyBorder="1" applyAlignment="1">
      <x:alignment vertical="top" wrapText="1"/>
    </x:xf>
    <x:xf numFmtId="0" fontId="18" fillId="0" borderId="7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93f8f2b43a43c8" /><Relationship Type="http://schemas.openxmlformats.org/officeDocument/2006/relationships/theme" Target="/xl/theme/theme1.xml" Id="R1ad4721faef847ee" /><Relationship Type="http://schemas.openxmlformats.org/officeDocument/2006/relationships/sharedStrings" Target="/xl/sharedStrings.xml" Id="Re5a40cd8c50542ca" /><Relationship Type="http://schemas.openxmlformats.org/officeDocument/2006/relationships/worksheet" Target="/xl/worksheets/sheet1.xml" Id="R5f5fb2d8ef5a4539" /><Relationship Type="http://schemas.openxmlformats.org/officeDocument/2006/relationships/worksheet" Target="/xl/worksheets/sheet2.xml" Id="Rede76c6849bb4029" /><Relationship Type="http://schemas.openxmlformats.org/officeDocument/2006/relationships/worksheet" Target="/xl/worksheets/sheet3.xml" Id="Re9169c144ff3488e" /><Relationship Type="http://schemas.openxmlformats.org/officeDocument/2006/relationships/worksheet" Target="/xl/worksheets/sheet4.xml" Id="Rd930b42b1f4a4384" /><Relationship Type="http://schemas.openxmlformats.org/officeDocument/2006/relationships/worksheet" Target="/xl/worksheets/sheet5.xml" Id="Rc62cbd4f43d54e74" /><Relationship Type="http://schemas.openxmlformats.org/officeDocument/2006/relationships/worksheet" Target="/xl/worksheets/sheet6.xml" Id="R26ffad89822e492b" /><Relationship Type="http://schemas.openxmlformats.org/officeDocument/2006/relationships/worksheet" Target="/xl/worksheets/sheet7.xml" Id="R795559f2db6d4fa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22" hidden="0" customWidth="1"/>
    <x:col min="4" max="4" width="48" hidden="0" customWidth="1"/>
  </x:cols>
  <x:sheetData>
    <x:row r="1" ht="30" customHeight="1">
      <x:c r="A1" s="51" t="str">
        <x:v>PatchTicker Launch Finance Model</x:v>
      </x:c>
      <x:c r="B1" s="52"/>
      <x:c r="C1" s="52"/>
      <x:c r="D1" s="52"/>
      <x:c r="E1" s="52"/>
      <x:c r="F1" s="52"/>
      <x:c r="G1" s="52"/>
      <x:c r="H1" s="53"/>
    </x:row>
    <x:row r="2" ht="22" customHeight="1">
      <x:c r="A2" s="54" t="str">
        <x:v>Editable inputs are yellow. Source-backed assumptions are logged in Sources.</x:v>
      </x:c>
      <x:c r="B2" s="37"/>
      <x:c r="C2" s="37"/>
      <x:c r="D2" s="37"/>
      <x:c r="E2" s="37"/>
      <x:c r="F2" s="37"/>
      <x:c r="G2" s="37"/>
      <x:c r="H2" s="55"/>
    </x:row>
    <x:row r="3">
      <x:c r="A3" s="56"/>
      <x:c r="B3" s="38"/>
      <x:c r="C3" s="38"/>
      <x:c r="D3" s="38"/>
      <x:c r="E3" s="38"/>
      <x:c r="F3" s="38"/>
      <x:c r="G3" s="38"/>
      <x:c r="H3" s="57"/>
    </x:row>
    <x:row r="4" ht="24" customHeight="1">
      <x:c r="A4" s="58" t="str">
        <x:v>Subscription Pricing</x:v>
      </x:c>
      <x:c r="B4" s="39" t="str"/>
      <x:c r="C4" s="39" t="str"/>
      <x:c r="D4" s="39" t="str"/>
      <x:c r="E4" s="38"/>
      <x:c r="F4" s="38"/>
      <x:c r="G4" s="38"/>
      <x:c r="H4" s="57"/>
    </x:row>
    <x:row r="5" ht="24" customHeight="1">
      <x:c r="A5" s="59" t="str">
        <x:v>Monthly Pro price</x:v>
      </x:c>
      <x:c r="B5" s="41" t="n">
        <x:v>12</x:v>
      </x:c>
      <x:c r="C5" s="38" t="str">
        <x:v>USD / month</x:v>
      </x:c>
      <x:c r="D5" s="42" t="str">
        <x:v>Current PatchTicker pricing</x:v>
      </x:c>
      <x:c r="E5" s="38"/>
      <x:c r="F5" s="38"/>
      <x:c r="G5" s="38"/>
      <x:c r="H5" s="57"/>
    </x:row>
    <x:row r="6" ht="24" customHeight="1">
      <x:c r="A6" s="59" t="str">
        <x:v>Annual Pro price</x:v>
      </x:c>
      <x:c r="B6" s="41" t="n">
        <x:v>99</x:v>
      </x:c>
      <x:c r="C6" s="38" t="str">
        <x:v>USD / year</x:v>
      </x:c>
      <x:c r="D6" s="42" t="str">
        <x:v>Current PatchTicker pricing</x:v>
      </x:c>
      <x:c r="E6" s="38"/>
      <x:c r="F6" s="38"/>
      <x:c r="G6" s="38"/>
      <x:c r="H6" s="57"/>
    </x:row>
    <x:row r="7" ht="24" customHeight="1">
      <x:c r="A7" s="59" t="str">
        <x:v>Annual monthly equivalent</x:v>
      </x:c>
      <x:c r="B7" s="41" t="n">
        <x:f>B6/12</x:f>
        <x:v>8.25</x:v>
      </x:c>
      <x:c r="C7" s="38" t="str">
        <x:v>USD / month</x:v>
      </x:c>
      <x:c r="D7" s="42" t="str">
        <x:v>Formula</x:v>
      </x:c>
      <x:c r="E7" s="38"/>
      <x:c r="F7" s="38"/>
      <x:c r="G7" s="38"/>
      <x:c r="H7" s="57"/>
    </x:row>
    <x:row r="8" ht="24" customHeight="1">
      <x:c r="A8" s="59" t="str"/>
      <x:c r="B8" s="43" t="str"/>
      <x:c r="C8" s="38" t="str"/>
      <x:c r="D8" s="42" t="str"/>
      <x:c r="E8" s="38"/>
      <x:c r="F8" s="38"/>
      <x:c r="G8" s="38"/>
      <x:c r="H8" s="57"/>
    </x:row>
    <x:row r="9" ht="24" customHeight="1">
      <x:c r="A9" s="58" t="str">
        <x:v>Stripe Fee Inputs</x:v>
      </x:c>
      <x:c r="B9" s="44" t="str"/>
      <x:c r="C9" s="39" t="str"/>
      <x:c r="D9" s="45" t="str"/>
      <x:c r="E9" s="38"/>
      <x:c r="F9" s="38"/>
      <x:c r="G9" s="38"/>
      <x:c r="H9" s="57"/>
    </x:row>
    <x:row r="10" ht="24" customHeight="1">
      <x:c r="A10" s="59" t="str">
        <x:v>Domestic online card fee</x:v>
      </x:c>
      <x:c r="B10" s="46" t="n">
        <x:v>0.029</x:v>
      </x:c>
      <x:c r="C10" s="38" t="str">
        <x:v>% of charge</x:v>
      </x:c>
      <x:c r="D10" s="42" t="str">
        <x:v>Stripe Payments standard US rate</x:v>
      </x:c>
      <x:c r="E10" s="38"/>
      <x:c r="F10" s="38"/>
      <x:c r="G10" s="38"/>
      <x:c r="H10" s="57"/>
    </x:row>
    <x:row r="11" ht="24" customHeight="1">
      <x:c r="A11" s="59" t="str">
        <x:v>Fixed card fee</x:v>
      </x:c>
      <x:c r="B11" s="41" t="n">
        <x:v>0.3</x:v>
      </x:c>
      <x:c r="C11" s="38" t="str">
        <x:v>USD / transaction</x:v>
      </x:c>
      <x:c r="D11" s="42" t="str">
        <x:v>Stripe Payments fixed fee</x:v>
      </x:c>
      <x:c r="E11" s="38"/>
      <x:c r="F11" s="38"/>
      <x:c r="G11" s="38"/>
      <x:c r="H11" s="57"/>
    </x:row>
    <x:row r="12" ht="24" customHeight="1">
      <x:c r="A12" s="59" t="str">
        <x:v>Stripe Billing fee</x:v>
      </x:c>
      <x:c r="B12" s="46" t="n">
        <x:v>0.007</x:v>
      </x:c>
      <x:c r="C12" s="38" t="str">
        <x:v>% recurring billing volume</x:v>
      </x:c>
      <x:c r="D12" s="42" t="str">
        <x:v>Stripe Billing pay-as-you-go</x:v>
      </x:c>
      <x:c r="E12" s="38"/>
      <x:c r="F12" s="38"/>
      <x:c r="G12" s="38"/>
      <x:c r="H12" s="57"/>
    </x:row>
    <x:row r="13" ht="24" customHeight="1">
      <x:c r="A13" s="59" t="str">
        <x:v>International-card surcharge</x:v>
      </x:c>
      <x:c r="B13" s="46" t="n">
        <x:v>0.015</x:v>
      </x:c>
      <x:c r="C13" s="38" t="str">
        <x:v>% of charge</x:v>
      </x:c>
      <x:c r="D13" s="42" t="str">
        <x:v>Not in base table; model separately</x:v>
      </x:c>
      <x:c r="E13" s="38"/>
      <x:c r="F13" s="38"/>
      <x:c r="G13" s="38"/>
      <x:c r="H13" s="57"/>
    </x:row>
    <x:row r="14" ht="24" customHeight="1">
      <x:c r="A14" s="59" t="str"/>
      <x:c r="B14" s="43" t="str"/>
      <x:c r="C14" s="38" t="str"/>
      <x:c r="D14" s="42" t="str"/>
      <x:c r="E14" s="38"/>
      <x:c r="F14" s="38"/>
      <x:c r="G14" s="38"/>
      <x:c r="H14" s="57"/>
    </x:row>
    <x:row r="15" ht="24" customHeight="1">
      <x:c r="A15" s="58" t="str">
        <x:v>Free-tier Ad Revenue Inputs</x:v>
      </x:c>
      <x:c r="B15" s="44" t="str"/>
      <x:c r="C15" s="39" t="str"/>
      <x:c r="D15" s="45" t="str"/>
      <x:c r="E15" s="38"/>
      <x:c r="F15" s="38"/>
      <x:c r="G15" s="38"/>
      <x:c r="H15" s="57"/>
    </x:row>
    <x:row r="16" ht="24" customHeight="1">
      <x:c r="A16" s="59" t="str">
        <x:v>Low page RPM</x:v>
      </x:c>
      <x:c r="B16" s="41" t="n">
        <x:v>0.5</x:v>
      </x:c>
      <x:c r="C16" s="38" t="str">
        <x:v>USD / 1,000 pageviews</x:v>
      </x:c>
      <x:c r="D16" s="42" t="str">
        <x:v>Conservative low-end assumption</x:v>
      </x:c>
      <x:c r="E16" s="38"/>
      <x:c r="F16" s="38"/>
      <x:c r="G16" s="38"/>
      <x:c r="H16" s="57"/>
    </x:row>
    <x:row r="17" ht="24" customHeight="1">
      <x:c r="A17" s="59" t="str">
        <x:v>Base page RPM</x:v>
      </x:c>
      <x:c r="B17" s="41" t="n">
        <x:v>2.5</x:v>
      </x:c>
      <x:c r="C17" s="38" t="str">
        <x:v>USD / 1,000 pageviews</x:v>
      </x:c>
      <x:c r="D17" s="42" t="str">
        <x:v>Early utility/community site assumption</x:v>
      </x:c>
      <x:c r="E17" s="38"/>
      <x:c r="F17" s="38"/>
      <x:c r="G17" s="38"/>
      <x:c r="H17" s="57"/>
    </x:row>
    <x:row r="18" ht="24" customHeight="1">
      <x:c r="A18" s="59" t="str">
        <x:v>High page RPM</x:v>
      </x:c>
      <x:c r="B18" s="41" t="n">
        <x:v>8</x:v>
      </x:c>
      <x:c r="C18" s="38" t="str">
        <x:v>USD / 1,000 pageviews</x:v>
      </x:c>
      <x:c r="D18" s="42" t="str">
        <x:v>High-intent tech audience assumption</x:v>
      </x:c>
      <x:c r="E18" s="38"/>
      <x:c r="F18" s="38"/>
      <x:c r="G18" s="38"/>
      <x:c r="H18" s="57"/>
    </x:row>
    <x:row r="19" ht="24" customHeight="1">
      <x:c r="A19" s="59" t="str">
        <x:v>Monthly visitors - base case</x:v>
      </x:c>
      <x:c r="B19" s="47" t="n">
        <x:v>10000</x:v>
      </x:c>
      <x:c r="C19" s="38" t="str">
        <x:v>Visitors</x:v>
      </x:c>
      <x:c r="D19" s="42" t="str">
        <x:v>Early launch traffic assumption</x:v>
      </x:c>
      <x:c r="E19" s="38"/>
      <x:c r="F19" s="38"/>
      <x:c r="G19" s="38"/>
      <x:c r="H19" s="57"/>
    </x:row>
    <x:row r="20" ht="24" customHeight="1">
      <x:c r="A20" s="59" t="str">
        <x:v>Pageviews per visitor</x:v>
      </x:c>
      <x:c r="B20" s="48" t="n">
        <x:v>2.4</x:v>
      </x:c>
      <x:c r="C20" s="38" t="str">
        <x:v>Pages</x:v>
      </x:c>
      <x:c r="D20" s="42" t="str">
        <x:v>Feed/detail browsing assumption</x:v>
      </x:c>
      <x:c r="E20" s="38"/>
      <x:c r="F20" s="38"/>
      <x:c r="G20" s="38"/>
      <x:c r="H20" s="57"/>
    </x:row>
    <x:row r="21" ht="24" customHeight="1">
      <x:c r="A21" s="59" t="str"/>
      <x:c r="B21" s="43" t="str"/>
      <x:c r="C21" s="38" t="str"/>
      <x:c r="D21" s="42" t="str"/>
      <x:c r="E21" s="38"/>
      <x:c r="F21" s="38"/>
      <x:c r="G21" s="38"/>
      <x:c r="H21" s="57"/>
    </x:row>
    <x:row r="22" ht="24" customHeight="1">
      <x:c r="A22" s="58" t="str">
        <x:v>Paid Acquisition Inputs</x:v>
      </x:c>
      <x:c r="B22" s="44" t="str"/>
      <x:c r="C22" s="39" t="str"/>
      <x:c r="D22" s="45" t="str"/>
      <x:c r="E22" s="38"/>
      <x:c r="F22" s="38"/>
      <x:c r="G22" s="38"/>
      <x:c r="H22" s="57"/>
    </x:row>
    <x:row r="23" ht="24" customHeight="1">
      <x:c r="A23" s="59" t="str">
        <x:v>Google Search CPC - low</x:v>
      </x:c>
      <x:c r="B23" s="41" t="n">
        <x:v>1.5</x:v>
      </x:c>
      <x:c r="C23" s="38" t="str">
        <x:v>USD / click</x:v>
      </x:c>
      <x:c r="D23" s="42" t="str">
        <x:v>Low campaign assumption</x:v>
      </x:c>
      <x:c r="E23" s="38"/>
      <x:c r="F23" s="38"/>
      <x:c r="G23" s="38"/>
      <x:c r="H23" s="57"/>
    </x:row>
    <x:row r="24" ht="24" customHeight="1">
      <x:c r="A24" s="59" t="str">
        <x:v>Google Search CPC - base</x:v>
      </x:c>
      <x:c r="B24" s="41" t="n">
        <x:v>3.8</x:v>
      </x:c>
      <x:c r="C24" s="38" t="str">
        <x:v>USD / click</x:v>
      </x:c>
      <x:c r="D24" s="42" t="str">
        <x:v>Technology benchmark assumption</x:v>
      </x:c>
      <x:c r="E24" s="38"/>
      <x:c r="F24" s="38"/>
      <x:c r="G24" s="38"/>
      <x:c r="H24" s="57"/>
    </x:row>
    <x:row r="25" ht="24" customHeight="1">
      <x:c r="A25" s="59" t="str">
        <x:v>Google Search CPC - high</x:v>
      </x:c>
      <x:c r="B25" s="41" t="n">
        <x:v>5.5</x:v>
      </x:c>
      <x:c r="C25" s="38" t="str">
        <x:v>USD / click</x:v>
      </x:c>
      <x:c r="D25" s="42" t="str">
        <x:v>Competitive SaaS assumption</x:v>
      </x:c>
      <x:c r="E25" s="38"/>
      <x:c r="F25" s="38"/>
      <x:c r="G25" s="38"/>
      <x:c r="H25" s="57"/>
    </x:row>
    <x:row r="26" ht="24" customHeight="1">
      <x:c r="A26" s="59" t="str">
        <x:v>Click-to-free-account conversion</x:v>
      </x:c>
      <x:c r="B26" s="49" t="n">
        <x:v>0.08</x:v>
      </x:c>
      <x:c r="C26" s="38" t="str">
        <x:v>% of clicks</x:v>
      </x:c>
      <x:c r="D26" s="42" t="str">
        <x:v>Landing page signup assumption</x:v>
      </x:c>
      <x:c r="E26" s="38"/>
      <x:c r="F26" s="38"/>
      <x:c r="G26" s="38"/>
      <x:c r="H26" s="57"/>
    </x:row>
    <x:row r="27" ht="24" customHeight="1">
      <x:c r="A27" s="59" t="str">
        <x:v>Free-to-Pro conversion</x:v>
      </x:c>
      <x:c r="B27" s="49" t="n">
        <x:v>0.05</x:v>
      </x:c>
      <x:c r="C27" s="38" t="str">
        <x:v>% of free signups</x:v>
      </x:c>
      <x:c r="D27" s="42" t="str">
        <x:v>Early freemium conversion assumption</x:v>
      </x:c>
      <x:c r="E27" s="38"/>
      <x:c r="F27" s="38"/>
      <x:c r="G27" s="38"/>
      <x:c r="H27" s="57"/>
    </x:row>
    <x:row r="28" ht="24" customHeight="1">
      <x:c r="A28" s="59" t="str">
        <x:v>Monthly ad test budget - base</x:v>
      </x:c>
      <x:c r="B28" s="50" t="n">
        <x:v>3000</x:v>
      </x:c>
      <x:c r="C28" s="38" t="str">
        <x:v>USD</x:v>
      </x:c>
      <x:c r="D28" s="42" t="str">
        <x:v>Recommended paid acquisition test budget</x:v>
      </x:c>
      <x:c r="E28" s="38"/>
      <x:c r="F28" s="38"/>
      <x:c r="G28" s="38"/>
      <x:c r="H28" s="57"/>
    </x:row>
    <x:row r="29">
      <x:c r="A29" s="60"/>
      <x:c r="B29" s="61"/>
      <x:c r="C29" s="62"/>
      <x:c r="D29" s="63"/>
      <x:c r="E29" s="62"/>
      <x:c r="F29" s="62"/>
      <x:c r="G29" s="62"/>
      <x:c r="H29" s="6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  <x:col min="5" max="5" width="18" hidden="0" customWidth="1"/>
    <x:col min="6" max="6" width="18" hidden="0" customWidth="1"/>
    <x:col min="7" max="7" width="26" hidden="0" customWidth="1"/>
    <x:col min="8" max="8" width="18" hidden="0" customWidth="1"/>
    <x:col min="9" max="9" width="20" hidden="0" customWidth="1"/>
  </x:cols>
  <x:sheetData>
    <x:row r="1" ht="30" customHeight="1">
      <x:c r="A1" s="51" t="str">
        <x:v>Stripe Fee Impact Per Subscription</x:v>
      </x:c>
      <x:c r="B1" s="52"/>
      <x:c r="C1" s="52"/>
      <x:c r="D1" s="52"/>
      <x:c r="E1" s="52"/>
      <x:c r="F1" s="52"/>
      <x:c r="G1" s="52"/>
      <x:c r="H1" s="52"/>
      <x:c r="I1" s="100"/>
    </x:row>
    <x:row r="2" ht="22" customHeight="1">
      <x:c r="A2" s="54" t="str">
        <x:v>Domestic online card + Stripe Billing baseline. International/currency fees can be layered separately.</x:v>
      </x:c>
      <x:c r="B2" s="37"/>
      <x:c r="C2" s="37"/>
      <x:c r="D2" s="37"/>
      <x:c r="E2" s="37"/>
      <x:c r="F2" s="37"/>
      <x:c r="G2" s="37"/>
      <x:c r="H2" s="37"/>
      <x:c r="I2" s="57"/>
    </x:row>
    <x:row r="3">
      <x:c r="A3" s="56"/>
      <x:c r="B3" s="38"/>
      <x:c r="C3" s="38"/>
      <x:c r="D3" s="38"/>
      <x:c r="E3" s="38"/>
      <x:c r="F3" s="38"/>
      <x:c r="G3" s="38"/>
      <x:c r="H3" s="38"/>
      <x:c r="I3" s="57"/>
    </x:row>
    <x:row r="4" ht="26" customHeight="1">
      <x:c r="A4" s="101" t="str">
        <x:v>Plan</x:v>
      </x:c>
      <x:c r="B4" s="91" t="str">
        <x:v>Customer charge</x:v>
      </x:c>
      <x:c r="C4" s="91" t="str">
        <x:v>Card % fee</x:v>
      </x:c>
      <x:c r="D4" s="91" t="str">
        <x:v>Fixed fee</x:v>
      </x:c>
      <x:c r="E4" s="91" t="str">
        <x:v>Billing fee</x:v>
      </x:c>
      <x:c r="F4" s="91" t="str">
        <x:v>Total Stripe take</x:v>
      </x:c>
      <x:c r="G4" s="91" t="str">
        <x:v>Net cash before tax/infra</x:v>
      </x:c>
      <x:c r="H4" s="91" t="str">
        <x:v>Effective take</x:v>
      </x:c>
      <x:c r="I4" s="102" t="str">
        <x:v>Net / month equiv.</x:v>
      </x:c>
    </x:row>
    <x:row r="5" ht="26" customHeight="1">
      <x:c r="A5" s="59" t="str">
        <x:v>Monthly Pro</x:v>
      </x:c>
      <x:c r="B5" s="41" t="n">
        <x:f>'Assumptions'!B5</x:f>
        <x:v>12</x:v>
      </x:c>
      <x:c r="C5" s="93" t="n">
        <x:f>B5*'Assumptions'!B10</x:f>
        <x:v>0.34800000000000003</x:v>
      </x:c>
      <x:c r="D5" s="93" t="n">
        <x:f>'Assumptions'!B11</x:f>
        <x:v>0.3</x:v>
      </x:c>
      <x:c r="E5" s="93" t="n">
        <x:f>B5*'Assumptions'!B12</x:f>
        <x:v>0.084</x:v>
      </x:c>
      <x:c r="F5" s="94" t="n">
        <x:f>SUM(C5:E5)</x:f>
        <x:v>0.732</x:v>
      </x:c>
      <x:c r="G5" s="94" t="n">
        <x:f>B5-F5</x:f>
        <x:v>11.268</x:v>
      </x:c>
      <x:c r="H5" s="95" t="n">
        <x:f>F5/B5</x:f>
        <x:v>0.061</x:v>
      </x:c>
      <x:c r="I5" s="103" t="n">
        <x:f>G5</x:f>
        <x:v>11.268</x:v>
      </x:c>
    </x:row>
    <x:row r="6" ht="26" customHeight="1">
      <x:c r="A6" s="59" t="str">
        <x:v>Annual Pro</x:v>
      </x:c>
      <x:c r="B6" s="41" t="n">
        <x:f>'Assumptions'!B6</x:f>
        <x:v>99</x:v>
      </x:c>
      <x:c r="C6" s="93" t="n">
        <x:f>B6*'Assumptions'!B10</x:f>
        <x:v>2.871</x:v>
      </x:c>
      <x:c r="D6" s="93" t="n">
        <x:f>'Assumptions'!B11</x:f>
        <x:v>0.3</x:v>
      </x:c>
      <x:c r="E6" s="93" t="n">
        <x:f>B6*'Assumptions'!B12</x:f>
        <x:v>0.6930000000000001</x:v>
      </x:c>
      <x:c r="F6" s="94" t="n">
        <x:f>SUM(C6:E6)</x:f>
        <x:v>3.864</x:v>
      </x:c>
      <x:c r="G6" s="94" t="n">
        <x:f>B6-F6</x:f>
        <x:v>95.136</x:v>
      </x:c>
      <x:c r="H6" s="95" t="n">
        <x:f>F6/B6</x:f>
        <x:v>0.039030303030303026</x:v>
      </x:c>
      <x:c r="I6" s="103" t="n">
        <x:f>G6/12</x:f>
        <x:v>7.928</x:v>
      </x:c>
    </x:row>
    <x:row r="7">
      <x:c r="A7" s="56"/>
      <x:c r="B7" s="38"/>
      <x:c r="C7" s="38"/>
      <x:c r="D7" s="38"/>
      <x:c r="E7" s="38"/>
      <x:c r="F7" s="38"/>
      <x:c r="G7" s="38"/>
      <x:c r="H7" s="38"/>
      <x:c r="I7" s="57"/>
    </x:row>
    <x:row r="8">
      <x:c r="A8" s="56"/>
      <x:c r="B8" s="38"/>
      <x:c r="C8" s="38"/>
      <x:c r="D8" s="38"/>
      <x:c r="E8" s="38"/>
      <x:c r="F8" s="38"/>
      <x:c r="G8" s="38"/>
      <x:c r="H8" s="38"/>
      <x:c r="I8" s="57"/>
    </x:row>
    <x:row r="9">
      <x:c r="A9" s="104" t="str">
        <x:v>Readout</x:v>
      </x:c>
      <x:c r="B9" s="97" t="str">
        <x:v>Monthly</x:v>
      </x:c>
      <x:c r="C9" s="97" t="str">
        <x:v>Annual</x:v>
      </x:c>
      <x:c r="D9" s="98" t="str">
        <x:v>Note</x:v>
      </x:c>
      <x:c r="E9" s="38"/>
      <x:c r="F9" s="38"/>
      <x:c r="G9" s="38"/>
      <x:c r="H9" s="38"/>
      <x:c r="I9" s="57"/>
    </x:row>
    <x:row r="10" ht="42" customHeight="1">
      <x:c r="A10" s="59" t="str">
        <x:v>Stripe take per subscription charge</x:v>
      </x:c>
      <x:c r="B10" s="93" t="n">
        <x:f>F5</x:f>
        <x:v>0.732</x:v>
      </x:c>
      <x:c r="C10" s="93" t="n">
        <x:f>F6</x:f>
        <x:v>3.864</x:v>
      </x:c>
      <x:c r="D10" s="42" t="str">
        <x:v>Annual is cheaper as % because the $0.30 fixed fee is spread over a larger charge.</x:v>
      </x:c>
      <x:c r="E10" s="38"/>
      <x:c r="F10" s="38"/>
      <x:c r="G10" s="38"/>
      <x:c r="H10" s="38"/>
      <x:c r="I10" s="57"/>
    </x:row>
    <x:row r="11" ht="42" customHeight="1">
      <x:c r="A11" s="59" t="str">
        <x:v>Net received per charge</x:v>
      </x:c>
      <x:c r="B11" s="93" t="n">
        <x:f>G5</x:f>
        <x:v>11.268</x:v>
      </x:c>
      <x:c r="C11" s="93" t="n">
        <x:f>G6</x:f>
        <x:v>95.136</x:v>
      </x:c>
      <x:c r="D11" s="42" t="str">
        <x:v>Before hosting, data, support, tax, refunds, disputes.</x:v>
      </x:c>
      <x:c r="E11" s="38"/>
      <x:c r="F11" s="38"/>
      <x:c r="G11" s="38"/>
      <x:c r="H11" s="38"/>
      <x:c r="I11" s="57"/>
    </x:row>
    <x:row r="12" ht="42" customHeight="1">
      <x:c r="A12" s="60" t="str">
        <x:v>Fee % of customer charge</x:v>
      </x:c>
      <x:c r="B12" s="105" t="n">
        <x:f>H5</x:f>
        <x:v>0.061</x:v>
      </x:c>
      <x:c r="C12" s="105" t="n">
        <x:f>H6</x:f>
        <x:v>0.039030303030303026</x:v>
      </x:c>
      <x:c r="D12" s="63" t="str">
        <x:v>Domestic-card baseline only.</x:v>
      </x:c>
      <x:c r="E12" s="62"/>
      <x:c r="F12" s="62"/>
      <x:c r="G12" s="62"/>
      <x:c r="H12" s="62"/>
      <x:c r="I12" s="64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20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6" hidden="0" customWidth="1"/>
    <x:col min="9" max="9" width="14" hidden="0" customWidth="1"/>
    <x:col min="10" max="10" width="14" hidden="0" customWidth="1"/>
    <x:col min="11" max="11" width="25" hidden="0" customWidth="1"/>
    <x:col min="12" max="12" width="16" hidden="0" customWidth="1"/>
  </x:cols>
  <x:sheetData>
    <x:row r="1" ht="30" customHeight="1">
      <x:c r="A1" s="51" t="str">
        <x:v>Ads Cost, AdSense Revenue, and Paid Acquisition Return</x:v>
      </x:c>
      <x:c r="B1" s="52"/>
      <x:c r="C1" s="52"/>
      <x:c r="D1" s="52"/>
      <x:c r="E1" s="52"/>
      <x:c r="F1" s="52"/>
      <x:c r="G1" s="52"/>
      <x:c r="H1" s="52"/>
      <x:c r="I1" s="124"/>
      <x:c r="J1" s="124"/>
      <x:c r="K1" s="124"/>
      <x:c r="L1" s="100"/>
    </x:row>
    <x:row r="2" ht="22" customHeight="1">
      <x:c r="A2" s="54" t="str">
        <x:v>Free-tier ads are revenue; paid ads are acquisition cost. Keep them separate.</x:v>
      </x:c>
      <x:c r="B2" s="37"/>
      <x:c r="C2" s="37"/>
      <x:c r="D2" s="37"/>
      <x:c r="E2" s="37"/>
      <x:c r="F2" s="37"/>
      <x:c r="G2" s="37"/>
      <x:c r="H2" s="37"/>
      <x:c r="I2" s="38"/>
      <x:c r="J2" s="38"/>
      <x:c r="K2" s="38"/>
      <x:c r="L2" s="57"/>
    </x:row>
    <x:row r="3">
      <x:c r="A3" s="56"/>
      <x:c r="B3" s="38"/>
      <x:c r="C3" s="38"/>
      <x:c r="D3" s="38"/>
      <x:c r="E3" s="38"/>
      <x:c r="F3" s="38"/>
      <x:c r="G3" s="38"/>
      <x:c r="H3" s="38"/>
      <x:c r="I3" s="38"/>
      <x:c r="J3" s="38"/>
      <x:c r="K3" s="38"/>
      <x:c r="L3" s="57"/>
    </x:row>
    <x:row r="4">
      <x:c r="A4" s="104" t="str">
        <x:v>Scenario</x:v>
      </x:c>
      <x:c r="B4" s="97" t="str">
        <x:v>Monthly visitors</x:v>
      </x:c>
      <x:c r="C4" s="97" t="str">
        <x:v>Pageviews / visitor</x:v>
      </x:c>
      <x:c r="D4" s="97" t="str">
        <x:v>Page RPM</x:v>
      </x:c>
      <x:c r="E4" s="97" t="str">
        <x:v>Estimated AdSense revenue</x:v>
      </x:c>
      <x:c r="F4" s="97" t="str">
        <x:v>Paid ad CPC</x:v>
      </x:c>
      <x:c r="G4" s="97" t="str">
        <x:v>Paid clicks</x:v>
      </x:c>
      <x:c r="H4" s="97" t="str">
        <x:v>Paid ad spend</x:v>
      </x:c>
      <x:c r="I4" s="97" t="str">
        <x:v>Free signups</x:v>
      </x:c>
      <x:c r="J4" s="97" t="str">
        <x:v>New Pro subs</x:v>
      </x:c>
      <x:c r="K4" s="97" t="str">
        <x:v>Monthly net subscription revenue</x:v>
      </x:c>
      <x:c r="L4" s="125" t="str">
        <x:v>First-month ROAS</x:v>
      </x:c>
    </x:row>
    <x:row r="5">
      <x:c r="A5" s="59" t="str">
        <x:v>Low</x:v>
      </x:c>
      <x:c r="B5" s="118" t="n">
        <x:v>5000</x:v>
      </x:c>
      <x:c r="C5" s="119" t="n">
        <x:f>'Assumptions'!B20</x:f>
        <x:v>2.4</x:v>
      </x:c>
      <x:c r="D5" s="93" t="n">
        <x:f>'Assumptions'!B16</x:f>
        <x:v>0.5</x:v>
      </x:c>
      <x:c r="E5" s="120" t="n">
        <x:f>B5*C5/1000*D5</x:f>
        <x:v>6</x:v>
      </x:c>
      <x:c r="F5" s="93" t="n">
        <x:f>'Assumptions'!B23</x:f>
        <x:v>1.5</x:v>
      </x:c>
      <x:c r="G5" s="93" t="n">
        <x:v>500</x:v>
      </x:c>
      <x:c r="H5" s="121" t="n">
        <x:f>F5*G5</x:f>
        <x:v>750</x:v>
      </x:c>
      <x:c r="I5" s="122" t="n">
        <x:f>G5*'Assumptions'!B26</x:f>
        <x:v>40</x:v>
      </x:c>
      <x:c r="J5" s="122" t="n">
        <x:f>I5*'Assumptions'!B27</x:f>
        <x:v>2</x:v>
      </x:c>
      <x:c r="K5" s="121" t="n">
        <x:f>J5*'Stripe Fees'!I5</x:f>
        <x:v>22.536</x:v>
      </x:c>
      <x:c r="L5" s="126" t="n">
        <x:f>(K5+E5)/H5</x:f>
        <x:v>0.038048</x:v>
      </x:c>
    </x:row>
    <x:row r="6">
      <x:c r="A6" s="59" t="str">
        <x:v>Base</x:v>
      </x:c>
      <x:c r="B6" s="118" t="n">
        <x:v>10000</x:v>
      </x:c>
      <x:c r="C6" s="119" t="n">
        <x:f>'Assumptions'!B20</x:f>
        <x:v>2.4</x:v>
      </x:c>
      <x:c r="D6" s="93" t="n">
        <x:f>'Assumptions'!B17</x:f>
        <x:v>2.5</x:v>
      </x:c>
      <x:c r="E6" s="120" t="n">
        <x:f>B6*C6/1000*D6</x:f>
        <x:v>60</x:v>
      </x:c>
      <x:c r="F6" s="93" t="n">
        <x:f>'Assumptions'!B24</x:f>
        <x:v>3.8</x:v>
      </x:c>
      <x:c r="G6" s="93" t="n">
        <x:v>1000</x:v>
      </x:c>
      <x:c r="H6" s="121" t="n">
        <x:f>F6*G6</x:f>
        <x:v>3800</x:v>
      </x:c>
      <x:c r="I6" s="122" t="n">
        <x:f>G6*'Assumptions'!B26</x:f>
        <x:v>80</x:v>
      </x:c>
      <x:c r="J6" s="122" t="n">
        <x:f>I6*'Assumptions'!B27</x:f>
        <x:v>4</x:v>
      </x:c>
      <x:c r="K6" s="121" t="n">
        <x:f>J6*'Stripe Fees'!I5</x:f>
        <x:v>45.072</x:v>
      </x:c>
      <x:c r="L6" s="126" t="n">
        <x:f>(K6+E6)/H6</x:f>
        <x:v>0.027650526315789476</x:v>
      </x:c>
    </x:row>
    <x:row r="7">
      <x:c r="A7" s="59" t="str">
        <x:v>High</x:v>
      </x:c>
      <x:c r="B7" s="118" t="n">
        <x:v>50000</x:v>
      </x:c>
      <x:c r="C7" s="119" t="n">
        <x:f>'Assumptions'!B20</x:f>
        <x:v>2.4</x:v>
      </x:c>
      <x:c r="D7" s="93" t="n">
        <x:f>'Assumptions'!B18</x:f>
        <x:v>8</x:v>
      </x:c>
      <x:c r="E7" s="120" t="n">
        <x:f>B7*C7/1000*D7</x:f>
        <x:v>960</x:v>
      </x:c>
      <x:c r="F7" s="93" t="n">
        <x:f>'Assumptions'!B25</x:f>
        <x:v>5.5</x:v>
      </x:c>
      <x:c r="G7" s="93" t="n">
        <x:v>2000</x:v>
      </x:c>
      <x:c r="H7" s="121" t="n">
        <x:f>F7*G7</x:f>
        <x:v>11000</x:v>
      </x:c>
      <x:c r="I7" s="122" t="n">
        <x:f>G7*'Assumptions'!B26</x:f>
        <x:v>160</x:v>
      </x:c>
      <x:c r="J7" s="122" t="n">
        <x:f>I7*'Assumptions'!B27</x:f>
        <x:v>8</x:v>
      </x:c>
      <x:c r="K7" s="121" t="n">
        <x:f>J7*'Stripe Fees'!I5</x:f>
        <x:v>90.144</x:v>
      </x:c>
      <x:c r="L7" s="126" t="n">
        <x:f>(K7+E7)/H7</x:f>
        <x:v>0.09546763636363637</x:v>
      </x:c>
    </x:row>
    <x:row r="8">
      <x:c r="A8" s="59" t="str">
        <x:v>Launch target</x:v>
      </x:c>
      <x:c r="B8" s="118" t="n">
        <x:v>25000</x:v>
      </x:c>
      <x:c r="C8" s="119" t="n">
        <x:f>'Assumptions'!B20</x:f>
        <x:v>2.4</x:v>
      </x:c>
      <x:c r="D8" s="93" t="n">
        <x:f>'Assumptions'!B17</x:f>
        <x:v>2.5</x:v>
      </x:c>
      <x:c r="E8" s="120" t="n">
        <x:f>B8*C8/1000*D8</x:f>
        <x:v>150</x:v>
      </x:c>
      <x:c r="F8" s="93" t="n">
        <x:f>'Assumptions'!B24</x:f>
        <x:v>3.8</x:v>
      </x:c>
      <x:c r="G8" s="93" t="n">
        <x:v>1500</x:v>
      </x:c>
      <x:c r="H8" s="121" t="n">
        <x:f>F8*G8</x:f>
        <x:v>5700</x:v>
      </x:c>
      <x:c r="I8" s="122" t="n">
        <x:f>G8*'Assumptions'!B26</x:f>
        <x:v>120</x:v>
      </x:c>
      <x:c r="J8" s="122" t="n">
        <x:f>I8*'Assumptions'!B27</x:f>
        <x:v>6</x:v>
      </x:c>
      <x:c r="K8" s="121" t="n">
        <x:f>J8*'Stripe Fees'!I5</x:f>
        <x:v>67.608</x:v>
      </x:c>
      <x:c r="L8" s="126" t="n">
        <x:f>(K8+E8)/H8</x:f>
        <x:v>0.03817684210526316</x:v>
      </x:c>
    </x:row>
    <x:row r="9">
      <x:c r="A9" s="56"/>
      <x:c r="B9" s="38"/>
      <x:c r="C9" s="38"/>
      <x:c r="D9" s="38"/>
      <x:c r="E9" s="38"/>
      <x:c r="F9" s="38"/>
      <x:c r="G9" s="38"/>
      <x:c r="H9" s="38"/>
      <x:c r="I9" s="38"/>
      <x:c r="J9" s="38"/>
      <x:c r="K9" s="38"/>
      <x:c r="L9" s="57"/>
    </x:row>
    <x:row r="10">
      <x:c r="A10" s="56"/>
      <x:c r="B10" s="38"/>
      <x:c r="C10" s="38"/>
      <x:c r="D10" s="38"/>
      <x:c r="E10" s="38"/>
      <x:c r="F10" s="38"/>
      <x:c r="G10" s="38"/>
      <x:c r="H10" s="38"/>
      <x:c r="I10" s="38"/>
      <x:c r="J10" s="38"/>
      <x:c r="K10" s="38"/>
      <x:c r="L10" s="57"/>
    </x:row>
    <x:row r="11">
      <x:c r="A11" s="58" t="str">
        <x:v>Key interpretation</x:v>
      </x:c>
      <x:c r="B11" s="39" t="str"/>
      <x:c r="C11" s="39" t="str"/>
      <x:c r="D11" s="39" t="str"/>
      <x:c r="E11" s="38"/>
      <x:c r="F11" s="38"/>
      <x:c r="G11" s="38"/>
      <x:c r="H11" s="38"/>
      <x:c r="I11" s="38"/>
      <x:c r="J11" s="38"/>
      <x:c r="K11" s="38"/>
      <x:c r="L11" s="57"/>
    </x:row>
    <x:row r="12">
      <x:c r="A12" s="127" t="str">
        <x:v>AdSense is not launch capital by itself. At 10K monthly visitors and base RPM, it only offsets a small amount of infrastructure cost.</x:v>
      </x:c>
      <x:c r="B12" s="42" t="str"/>
      <x:c r="C12" s="42" t="str"/>
      <x:c r="D12" s="42" t="str"/>
      <x:c r="E12" s="38"/>
      <x:c r="F12" s="38"/>
      <x:c r="G12" s="38"/>
      <x:c r="H12" s="38"/>
      <x:c r="I12" s="38"/>
      <x:c r="J12" s="38"/>
      <x:c r="K12" s="38"/>
      <x:c r="L12" s="57"/>
    </x:row>
    <x:row r="13">
      <x:c r="A13" s="127" t="str">
        <x:v>Paid ads should be capped until CAC/payback is proven. Search CPC can rise quickly in SaaS/tech.</x:v>
      </x:c>
      <x:c r="B13" s="42" t="str"/>
      <x:c r="C13" s="42" t="str"/>
      <x:c r="D13" s="42" t="str"/>
      <x:c r="E13" s="38"/>
      <x:c r="F13" s="38"/>
      <x:c r="G13" s="38"/>
      <x:c r="H13" s="38"/>
      <x:c r="I13" s="38"/>
      <x:c r="J13" s="38"/>
      <x:c r="K13" s="38"/>
      <x:c r="L13" s="57"/>
    </x:row>
    <x:row r="14">
      <x:c r="A14" s="127" t="str">
        <x:v>Treat the first ad budget as validation spend, not guaranteed growth.</x:v>
      </x:c>
      <x:c r="B14" s="42" t="str"/>
      <x:c r="C14" s="42" t="str"/>
      <x:c r="D14" s="42" t="str"/>
      <x:c r="E14" s="38"/>
      <x:c r="F14" s="38"/>
      <x:c r="G14" s="38"/>
      <x:c r="H14" s="38"/>
      <x:c r="I14" s="38"/>
      <x:c r="J14" s="38"/>
      <x:c r="K14" s="38"/>
      <x:c r="L14" s="57"/>
    </x:row>
    <x:row r="15">
      <x:c r="A15" s="128" t="str">
        <x:v>If first-month ROAS is below 1.0x, subscriber lifetime value must cover the payback gap.</x:v>
      </x:c>
      <x:c r="B15" s="63" t="str"/>
      <x:c r="C15" s="63" t="str"/>
      <x:c r="D15" s="63" t="str"/>
      <x:c r="E15" s="62"/>
      <x:c r="F15" s="62"/>
      <x:c r="G15" s="62"/>
      <x:c r="H15" s="62"/>
      <x:c r="I15" s="62"/>
      <x:c r="J15" s="62"/>
      <x:c r="K15" s="62"/>
      <x:c r="L15" s="64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52" hidden="0" customWidth="1"/>
  </x:cols>
  <x:sheetData>
    <x:row r="1" ht="30" customHeight="1">
      <x:c r="A1" s="51" t="str">
        <x:v>Recommended Launch Capital</x:v>
      </x:c>
      <x:c r="B1" s="52"/>
      <x:c r="C1" s="52"/>
      <x:c r="D1" s="52"/>
      <x:c r="E1" s="52"/>
      <x:c r="F1" s="52"/>
      <x:c r="G1" s="52"/>
      <x:c r="H1" s="53"/>
    </x:row>
    <x:row r="2" ht="22" customHeight="1">
      <x:c r="A2" s="54" t="str">
        <x:v>Three budgets: lean validation, recommended production launch, and aggressive traffic push.</x:v>
      </x:c>
      <x:c r="B2" s="37"/>
      <x:c r="C2" s="37"/>
      <x:c r="D2" s="37"/>
      <x:c r="E2" s="37"/>
      <x:c r="F2" s="37"/>
      <x:c r="G2" s="37"/>
      <x:c r="H2" s="55"/>
    </x:row>
    <x:row r="3">
      <x:c r="A3" s="56"/>
      <x:c r="B3" s="38"/>
      <x:c r="C3" s="38"/>
      <x:c r="D3" s="38"/>
      <x:c r="E3" s="38"/>
      <x:c r="F3" s="38"/>
      <x:c r="G3" s="38"/>
      <x:c r="H3" s="57"/>
    </x:row>
    <x:row r="4" ht="28" customHeight="1">
      <x:c r="A4" s="104" t="str">
        <x:v>Category</x:v>
      </x:c>
      <x:c r="B4" s="97" t="str">
        <x:v>Lean</x:v>
      </x:c>
      <x:c r="C4" s="97" t="str">
        <x:v>Recommended</x:v>
      </x:c>
      <x:c r="D4" s="97" t="str">
        <x:v>Push</x:v>
      </x:c>
      <x:c r="E4" s="98" t="str">
        <x:v>Notes</x:v>
      </x:c>
      <x:c r="F4" s="38"/>
      <x:c r="G4" s="38"/>
      <x:c r="H4" s="57"/>
    </x:row>
    <x:row r="5" ht="28" customHeight="1">
      <x:c r="A5" s="59" t="str">
        <x:v>Legal/accounting setup</x:v>
      </x:c>
      <x:c r="B5" s="50" t="n">
        <x:v>750</x:v>
      </x:c>
      <x:c r="C5" s="50" t="n">
        <x:v>1500</x:v>
      </x:c>
      <x:c r="D5" s="50" t="n">
        <x:v>3000</x:v>
      </x:c>
      <x:c r="E5" s="42" t="str">
        <x:v>LLC/tax/payment/legal review buffer</x:v>
      </x:c>
      <x:c r="F5" s="38"/>
      <x:c r="G5" s="38"/>
      <x:c r="H5" s="57"/>
    </x:row>
    <x:row r="6" ht="28" customHeight="1">
      <x:c r="A6" s="59" t="str">
        <x:v>Infrastructure first 3 months</x:v>
      </x:c>
      <x:c r="B6" s="50" t="n">
        <x:v>250</x:v>
      </x:c>
      <x:c r="C6" s="50" t="n">
        <x:v>600</x:v>
      </x:c>
      <x:c r="D6" s="50" t="n">
        <x:v>1200</x:v>
      </x:c>
      <x:c r="E6" s="42" t="str">
        <x:v>DigitalOcean, Supabase, logging/backups, domain/DNS</x:v>
      </x:c>
      <x:c r="F6" s="38"/>
      <x:c r="G6" s="38"/>
      <x:c r="H6" s="57"/>
    </x:row>
    <x:row r="7" ht="28" customHeight="1">
      <x:c r="A7" s="59" t="str">
        <x:v>Email/security/tools first 3 months</x:v>
      </x:c>
      <x:c r="B7" s="50" t="n">
        <x:v>200</x:v>
      </x:c>
      <x:c r="C7" s="50" t="n">
        <x:v>500</x:v>
      </x:c>
      <x:c r="D7" s="50" t="n">
        <x:v>1000</x:v>
      </x:c>
      <x:c r="E7" s="42" t="str">
        <x:v>SendGrid/SMTP, hCaptcha upgrade only if needed, monitoring</x:v>
      </x:c>
      <x:c r="F7" s="38"/>
      <x:c r="G7" s="38"/>
      <x:c r="H7" s="57"/>
    </x:row>
    <x:row r="8" ht="28" customHeight="1">
      <x:c r="A8" s="59" t="str">
        <x:v>Content/source QA budget</x:v>
      </x:c>
      <x:c r="B8" s="50" t="n">
        <x:v>500</x:v>
      </x:c>
      <x:c r="C8" s="50" t="n">
        <x:v>1250</x:v>
      </x:c>
      <x:c r="D8" s="50" t="n">
        <x:v>3000</x:v>
      </x:c>
      <x:c r="E8" s="42" t="str">
        <x:v>Manual source checks, scraper repair, content polish</x:v>
      </x:c>
      <x:c r="F8" s="38"/>
      <x:c r="G8" s="38"/>
      <x:c r="H8" s="57"/>
    </x:row>
    <x:row r="9" ht="28" customHeight="1">
      <x:c r="A9" s="59" t="str">
        <x:v>Paid acquisition test</x:v>
      </x:c>
      <x:c r="B9" s="50" t="n">
        <x:v>1000</x:v>
      </x:c>
      <x:c r="C9" s="50" t="n">
        <x:v>3000</x:v>
      </x:c>
      <x:c r="D9" s="50" t="n">
        <x:v>8000</x:v>
      </x:c>
      <x:c r="E9" s="42" t="str">
        <x:v>Controlled Google/search/social tests</x:v>
      </x:c>
      <x:c r="F9" s="38"/>
      <x:c r="G9" s="38"/>
      <x:c r="H9" s="57"/>
    </x:row>
    <x:row r="10" ht="28" customHeight="1">
      <x:c r="A10" s="59" t="str">
        <x:v>Design/creative/social assets</x:v>
      </x:c>
      <x:c r="B10" s="50" t="n">
        <x:v>500</x:v>
      </x:c>
      <x:c r="C10" s="50" t="n">
        <x:v>1000</x:v>
      </x:c>
      <x:c r="D10" s="50" t="n">
        <x:v>2500</x:v>
      </x:c>
      <x:c r="E10" s="42" t="str">
        <x:v>OG image, ads, launch posts, product visuals</x:v>
      </x:c>
      <x:c r="F10" s="38"/>
      <x:c r="G10" s="38"/>
      <x:c r="H10" s="57"/>
    </x:row>
    <x:row r="11" ht="28" customHeight="1">
      <x:c r="A11" s="59" t="str">
        <x:v>Contingency</x:v>
      </x:c>
      <x:c r="B11" s="50" t="n">
        <x:v>500</x:v>
      </x:c>
      <x:c r="C11" s="50" t="n">
        <x:v>1500</x:v>
      </x:c>
      <x:c r="D11" s="50" t="n">
        <x:v>3000</x:v>
      </x:c>
      <x:c r="E11" s="42" t="str">
        <x:v>Unexpected vendor fees, bug fixes, traffic spikes</x:v>
      </x:c>
      <x:c r="F11" s="38"/>
      <x:c r="G11" s="38"/>
      <x:c r="H11" s="57"/>
    </x:row>
    <x:row r="12" ht="28" customHeight="1">
      <x:c r="A12" s="59" t="str">
        <x:v>Total launch capital</x:v>
      </x:c>
      <x:c r="B12" s="133" t="n">
        <x:f>SUM(B5:B11)</x:f>
        <x:v>3700</x:v>
      </x:c>
      <x:c r="C12" s="133" t="n">
        <x:f>SUM(C5:C11)</x:f>
        <x:v>9350</x:v>
      </x:c>
      <x:c r="D12" s="133" t="n">
        <x:f>SUM(D5:D11)</x:f>
        <x:v>21700</x:v>
      </x:c>
      <x:c r="E12" s="42" t="str">
        <x:v>Formula</x:v>
      </x:c>
      <x:c r="F12" s="38"/>
      <x:c r="G12" s="38"/>
      <x:c r="H12" s="57"/>
    </x:row>
    <x:row r="13" ht="28" customHeight="1">
      <x:c r="A13" s="59" t="str">
        <x:v>Recommended target range</x:v>
      </x:c>
      <x:c r="B13" s="133" t="n">
        <x:v>6500</x:v>
      </x:c>
      <x:c r="C13" s="133" t="n">
        <x:v>10000</x:v>
      </x:c>
      <x:c r="D13" s="133" t="n">
        <x:v>15000</x:v>
      </x:c>
      <x:c r="E13" s="42" t="str">
        <x:v>Practical cash-on-hand target before public launch</x:v>
      </x:c>
      <x:c r="F13" s="38"/>
      <x:c r="G13" s="38"/>
      <x:c r="H13" s="57"/>
    </x:row>
    <x:row r="14" ht="28" customHeight="1">
      <x:c r="A14" s="59" t="str">
        <x:v>Minimum monthly burn after launch</x:v>
      </x:c>
      <x:c r="B14" s="133" t="n">
        <x:v>125</x:v>
      </x:c>
      <x:c r="C14" s="133" t="n">
        <x:v>250</x:v>
      </x:c>
      <x:c r="D14" s="133" t="n">
        <x:v>600</x:v>
      </x:c>
      <x:c r="E14" s="42" t="str">
        <x:v>Lean infra + email + small tools, before ad spend</x:v>
      </x:c>
      <x:c r="F14" s="38"/>
      <x:c r="G14" s="38"/>
      <x:c r="H14" s="57"/>
    </x:row>
    <x:row r="15" ht="28" customHeight="1">
      <x:c r="A15" s="59" t="str">
        <x:v>Ad test runway months</x:v>
      </x:c>
      <x:c r="B15" s="119" t="n">
        <x:f>B9/'Assumptions'!B28</x:f>
        <x:v>0.3333333333333333</x:v>
      </x:c>
      <x:c r="C15" s="119" t="n">
        <x:f>C9/'Assumptions'!B28</x:f>
        <x:v>1</x:v>
      </x:c>
      <x:c r="D15" s="119" t="n">
        <x:f>D9/'Assumptions'!B28</x:f>
        <x:v>2.6666666666666665</x:v>
      </x:c>
      <x:c r="E15" s="42" t="str">
        <x:v>Budget / monthly ad test spend</x:v>
      </x:c>
      <x:c r="F15" s="38"/>
      <x:c r="G15" s="38"/>
      <x:c r="H15" s="57"/>
    </x:row>
    <x:row r="16" ht="28" customHeight="1">
      <x:c r="A16" s="60" t="str">
        <x:v>Decision</x:v>
      </x:c>
      <x:c r="B16" s="62" t="str">
        <x:f>IF(B12&lt;5000,"Too thin","Workable")</x:f>
        <x:v>Too thin</x:v>
      </x:c>
      <x:c r="C16" s="62" t="str">
        <x:f>IF(C12&gt;=6500,"Recommended","Review")</x:f>
        <x:v>Recommended</x:v>
      </x:c>
      <x:c r="D16" s="62" t="str">
        <x:f>IF(D12&gt;=15000,"Growth push","Review")</x:f>
        <x:v>Growth push</x:v>
      </x:c>
      <x:c r="E16" s="63" t="str">
        <x:v>Formula</x:v>
      </x:c>
      <x:c r="F16" s="62"/>
      <x:c r="G16" s="62"/>
      <x:c r="H16" s="64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2" hidden="0" customWidth="1"/>
    <x:col min="3" max="3" width="46" hidden="0" customWidth="1"/>
    <x:col min="4" max="4" width="46" hidden="0" customWidth="1"/>
  </x:cols>
  <x:sheetData>
    <x:row r="1" ht="30" customHeight="1">
      <x:c r="A1" s="51" t="str">
        <x:v>PatchTicker Launch Finance Summary</x:v>
      </x:c>
      <x:c r="B1" s="52"/>
      <x:c r="C1" s="52"/>
      <x:c r="D1" s="52"/>
      <x:c r="E1" s="52"/>
      <x:c r="F1" s="52"/>
      <x:c r="G1" s="52"/>
      <x:c r="H1" s="53"/>
    </x:row>
    <x:row r="2" ht="22" customHeight="1">
      <x:c r="A2" s="54" t="str">
        <x:v>High-level economics for subscriptions, ads, and launch capital.</x:v>
      </x:c>
      <x:c r="B2" s="37"/>
      <x:c r="C2" s="37"/>
      <x:c r="D2" s="37"/>
      <x:c r="E2" s="37"/>
      <x:c r="F2" s="37"/>
      <x:c r="G2" s="37"/>
      <x:c r="H2" s="55"/>
    </x:row>
    <x:row r="3">
      <x:c r="A3" s="56"/>
      <x:c r="B3" s="38"/>
      <x:c r="C3" s="38"/>
      <x:c r="D3" s="38"/>
      <x:c r="E3" s="38"/>
      <x:c r="F3" s="38"/>
      <x:c r="G3" s="38"/>
      <x:c r="H3" s="57"/>
    </x:row>
    <x:row r="4" ht="24" customHeight="1">
      <x:c r="A4" s="104" t="str">
        <x:v>Metric</x:v>
      </x:c>
      <x:c r="B4" s="97" t="str">
        <x:v>Value</x:v>
      </x:c>
      <x:c r="C4" s="97" t="str">
        <x:v>What it means</x:v>
      </x:c>
      <x:c r="D4" s="98" t="str">
        <x:v>Source</x:v>
      </x:c>
      <x:c r="E4" s="38"/>
      <x:c r="F4" s="38"/>
      <x:c r="G4" s="38"/>
      <x:c r="H4" s="57"/>
    </x:row>
    <x:row r="5" ht="24" customHeight="1">
      <x:c r="A5" s="59" t="str">
        <x:v>Stripe take - Monthly Pro</x:v>
      </x:c>
      <x:c r="B5" s="94" t="n">
        <x:f>'Stripe Fees'!F5</x:f>
        <x:v>0.732</x:v>
      </x:c>
      <x:c r="C5" s="42" t="str">
        <x:v>Fee per $12 monthly subscription charge</x:v>
      </x:c>
      <x:c r="D5" s="42" t="str">
        <x:v>Stripe Fees</x:v>
      </x:c>
      <x:c r="E5" s="38"/>
      <x:c r="F5" s="38"/>
      <x:c r="G5" s="38"/>
      <x:c r="H5" s="57"/>
    </x:row>
    <x:row r="6" ht="24" customHeight="1">
      <x:c r="A6" s="59" t="str">
        <x:v>Net cash - Monthly Pro</x:v>
      </x:c>
      <x:c r="B6" s="94" t="n">
        <x:f>'Stripe Fees'!G5</x:f>
        <x:v>11.268</x:v>
      </x:c>
      <x:c r="C6" s="42" t="str">
        <x:v>Cash received before infra/tax/support</x:v>
      </x:c>
      <x:c r="D6" s="42" t="str">
        <x:v>Stripe Fees</x:v>
      </x:c>
      <x:c r="E6" s="38"/>
      <x:c r="F6" s="38"/>
      <x:c r="G6" s="38"/>
      <x:c r="H6" s="57"/>
    </x:row>
    <x:row r="7" ht="24" customHeight="1">
      <x:c r="A7" s="59" t="str">
        <x:v>Stripe take - Annual Pro</x:v>
      </x:c>
      <x:c r="B7" s="94" t="n">
        <x:f>'Stripe Fees'!F6</x:f>
        <x:v>3.864</x:v>
      </x:c>
      <x:c r="C7" s="42" t="str">
        <x:v>Fee per $99 annual subscription charge</x:v>
      </x:c>
      <x:c r="D7" s="42" t="str">
        <x:v>Stripe Fees</x:v>
      </x:c>
      <x:c r="E7" s="38"/>
      <x:c r="F7" s="38"/>
      <x:c r="G7" s="38"/>
      <x:c r="H7" s="57"/>
    </x:row>
    <x:row r="8" ht="24" customHeight="1">
      <x:c r="A8" s="59" t="str">
        <x:v>Net annual cash</x:v>
      </x:c>
      <x:c r="B8" s="94" t="n">
        <x:f>'Stripe Fees'!G6</x:f>
        <x:v>95.136</x:v>
      </x:c>
      <x:c r="C8" s="42" t="str">
        <x:v>Cash received before infra/tax/support</x:v>
      </x:c>
      <x:c r="D8" s="42" t="str">
        <x:v>Stripe Fees</x:v>
      </x:c>
      <x:c r="E8" s="38"/>
      <x:c r="F8" s="38"/>
      <x:c r="G8" s="38"/>
      <x:c r="H8" s="57"/>
    </x:row>
    <x:row r="9" ht="24" customHeight="1">
      <x:c r="A9" s="59" t="str">
        <x:v>Base monthly AdSense revenue</x:v>
      </x:c>
      <x:c r="B9" s="94" t="n">
        <x:f>'Ads ROI'!E6</x:f>
        <x:v>60</x:v>
      </x:c>
      <x:c r="C9" s="42" t="str">
        <x:v>At 10K visitors, 2.4 pageviews/user, $2.50 RPM</x:v>
      </x:c>
      <x:c r="D9" s="42" t="str">
        <x:v>Ads ROI</x:v>
      </x:c>
      <x:c r="E9" s="38"/>
      <x:c r="F9" s="38"/>
      <x:c r="G9" s="38"/>
      <x:c r="H9" s="57"/>
    </x:row>
    <x:row r="10" ht="24" customHeight="1">
      <x:c r="A10" s="59" t="str">
        <x:v>Recommended launch capital</x:v>
      </x:c>
      <x:c r="B10" s="139" t="str">
        <x:f>TEXT('Launch Capital'!B13,"$#,##0")&amp;" - "&amp;TEXT('Launch Capital'!C13,"$#,##0")</x:f>
        <x:v>$6,500 - $10,000</x:v>
      </x:c>
      <x:c r="C10" s="42" t="str">
        <x:v>Practical cash-on-hand range before public launch</x:v>
      </x:c>
      <x:c r="D10" s="42" t="str">
        <x:v>Launch Capital</x:v>
      </x:c>
      <x:c r="E10" s="38"/>
      <x:c r="F10" s="38"/>
      <x:c r="G10" s="38"/>
      <x:c r="H10" s="57"/>
    </x:row>
    <x:row r="11">
      <x:c r="A11" s="56"/>
      <x:c r="B11" s="38"/>
      <x:c r="C11" s="38"/>
      <x:c r="D11" s="38"/>
      <x:c r="E11" s="38"/>
      <x:c r="F11" s="38"/>
      <x:c r="G11" s="38"/>
      <x:c r="H11" s="57"/>
    </x:row>
    <x:row r="12">
      <x:c r="A12" s="56"/>
      <x:c r="B12" s="38"/>
      <x:c r="C12" s="38"/>
      <x:c r="D12" s="38"/>
      <x:c r="E12" s="38"/>
      <x:c r="F12" s="38"/>
      <x:c r="G12" s="38"/>
      <x:c r="H12" s="57"/>
    </x:row>
    <x:row r="13">
      <x:c r="A13" s="58" t="str">
        <x:v>Recommendation</x:v>
      </x:c>
      <x:c r="B13" s="39" t="str"/>
      <x:c r="C13" s="39" t="str"/>
      <x:c r="D13" s="39" t="str"/>
      <x:c r="E13" s="38"/>
      <x:c r="F13" s="38"/>
      <x:c r="G13" s="38"/>
      <x:c r="H13" s="57"/>
    </x:row>
    <x:row r="14" ht="38" customHeight="1">
      <x:c r="A14" s="59" t="str">
        <x:v>Launch budget</x:v>
      </x:c>
      <x:c r="B14" s="140" t="n">
        <x:v>6500</x:v>
      </x:c>
      <x:c r="C14" s="42" t="str">
        <x:v>Minimum practical target: $6.5K. Better target: $10K to avoid underfunding ads/source QA.</x:v>
      </x:c>
      <x:c r="D14" s="42" t="str">
        <x:v>Model output</x:v>
      </x:c>
      <x:c r="E14" s="38"/>
      <x:c r="F14" s="38"/>
      <x:c r="G14" s="38"/>
      <x:c r="H14" s="57"/>
    </x:row>
    <x:row r="15" ht="38" customHeight="1">
      <x:c r="A15" s="59" t="str">
        <x:v>Ad strategy</x:v>
      </x:c>
      <x:c r="B15" s="140" t="n">
        <x:v>3000</x:v>
      </x:c>
      <x:c r="C15" s="42" t="str">
        <x:v>Start with a capped validation budget. Do not scale spend until signup-to-Pro conversion is measured.</x:v>
      </x:c>
      <x:c r="D15" s="42" t="str">
        <x:v>Assumption</x:v>
      </x:c>
      <x:c r="E15" s="38"/>
      <x:c r="F15" s="38"/>
      <x:c r="G15" s="38"/>
      <x:c r="H15" s="57"/>
    </x:row>
    <x:row r="16" ht="38" customHeight="1">
      <x:c r="A16" s="59" t="str">
        <x:v>Ads expectation</x:v>
      </x:c>
      <x:c r="B16" s="38"/>
      <x:c r="C16" s="42" t="str">
        <x:v>AdSense will likely be minor at launch; subscriptions carry the business.</x:v>
      </x:c>
      <x:c r="D16" s="42" t="str">
        <x:v>Ads ROI</x:v>
      </x:c>
      <x:c r="E16" s="38"/>
      <x:c r="F16" s="38"/>
      <x:c r="G16" s="38"/>
      <x:c r="H16" s="57"/>
    </x:row>
    <x:row r="17" ht="38" customHeight="1">
      <x:c r="A17" s="59" t="str">
        <x:v>Pricing red flag</x:v>
      </x:c>
      <x:c r="B17" s="38"/>
      <x:c r="C17" s="42" t="str">
        <x:v>Annual plan has lower processing drag but also lower ARPU than monthly. Watch mix carefully.</x:v>
      </x:c>
      <x:c r="D17" s="42" t="str">
        <x:v>Stripe Fees</x:v>
      </x:c>
      <x:c r="E17" s="38"/>
      <x:c r="F17" s="38"/>
      <x:c r="G17" s="38"/>
      <x:c r="H17" s="57"/>
    </x:row>
    <x:row r="18" ht="38" customHeight="1">
      <x:c r="A18" s="60" t="str">
        <x:v>Security red flag</x:v>
      </x:c>
      <x:c r="B18" s="62"/>
      <x:c r="C18" s="63" t="str">
        <x:v>Rotate exposed Supabase DB password before public launch. This is not optional.</x:v>
      </x:c>
      <x:c r="D18" s="63" t="str">
        <x:v>Operational note</x:v>
      </x:c>
      <x:c r="E18" s="62"/>
      <x:c r="F18" s="62"/>
      <x:c r="G18" s="62"/>
      <x:c r="H18" s="64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 ht="30" customHeight="1">
      <x:c r="A1" s="51" t="str">
        <x:v>Model Checks</x:v>
      </x:c>
      <x:c r="B1" s="52"/>
      <x:c r="C1" s="52"/>
      <x:c r="D1" s="52"/>
      <x:c r="E1" s="52"/>
      <x:c r="F1" s="52"/>
      <x:c r="G1" s="52"/>
      <x:c r="H1" s="53"/>
    </x:row>
    <x:row r="2" ht="22" customHeight="1">
      <x:c r="A2" s="54" t="str">
        <x:v>Basic formula and logic checks.</x:v>
      </x:c>
      <x:c r="B2" s="37"/>
      <x:c r="C2" s="37"/>
      <x:c r="D2" s="37"/>
      <x:c r="E2" s="37"/>
      <x:c r="F2" s="37"/>
      <x:c r="G2" s="37"/>
      <x:c r="H2" s="55"/>
    </x:row>
    <x:row r="3">
      <x:c r="A3" s="56"/>
      <x:c r="B3" s="38"/>
      <x:c r="C3" s="38"/>
      <x:c r="D3" s="38"/>
      <x:c r="E3" s="38"/>
      <x:c r="F3" s="38"/>
      <x:c r="G3" s="38"/>
      <x:c r="H3" s="57"/>
    </x:row>
    <x:row r="4">
      <x:c r="A4" s="104" t="str">
        <x:v>Check</x:v>
      </x:c>
      <x:c r="B4" s="97" t="str">
        <x:v>Actual</x:v>
      </x:c>
      <x:c r="C4" s="97" t="str">
        <x:v>Expected</x:v>
      </x:c>
      <x:c r="D4" s="97" t="str">
        <x:v>Difference</x:v>
      </x:c>
      <x:c r="E4" s="97" t="str">
        <x:v>Tolerance</x:v>
      </x:c>
      <x:c r="F4" s="98" t="str">
        <x:v>Status</x:v>
      </x:c>
      <x:c r="G4" s="38"/>
      <x:c r="H4" s="57"/>
    </x:row>
    <x:row r="5">
      <x:c r="A5" s="59" t="str">
        <x:v>Monthly net ties</x:v>
      </x:c>
      <x:c r="B5" s="93" t="n">
        <x:f>'Stripe Fees'!G5</x:f>
        <x:v>11.268</x:v>
      </x:c>
      <x:c r="C5" s="93" t="n">
        <x:f>'Stripe Fees'!B5-'Stripe Fees'!F5</x:f>
        <x:v>11.268</x:v>
      </x:c>
      <x:c r="D5" s="93" t="n">
        <x:f>B5-C5</x:f>
        <x:v>0</x:v>
      </x:c>
      <x:c r="E5" s="93" t="n">
        <x:f>E5</x:f>
        <x:v>0</x:v>
      </x:c>
      <x:c r="F5" s="40" t="str">
        <x:f>IF(ABS(D5)&lt;=E5,"OK","FAIL")</x:f>
        <x:v>OK</x:v>
      </x:c>
      <x:c r="G5" s="38"/>
      <x:c r="H5" s="57"/>
    </x:row>
    <x:row r="6">
      <x:c r="A6" s="59" t="str">
        <x:v>Annual net ties</x:v>
      </x:c>
      <x:c r="B6" s="93" t="n">
        <x:f>'Stripe Fees'!G6</x:f>
        <x:v>95.136</x:v>
      </x:c>
      <x:c r="C6" s="93" t="n">
        <x:f>'Stripe Fees'!B6-'Stripe Fees'!F6</x:f>
        <x:v>95.136</x:v>
      </x:c>
      <x:c r="D6" s="93" t="n">
        <x:f>B6-C6</x:f>
        <x:v>0</x:v>
      </x:c>
      <x:c r="E6" s="93" t="n">
        <x:f>E6</x:f>
        <x:v>0</x:v>
      </x:c>
      <x:c r="F6" s="40" t="str">
        <x:f>IF(ABS(D6)&lt;=E6,"OK","FAIL")</x:f>
        <x:v>OK</x:v>
      </x:c>
      <x:c r="G6" s="38"/>
      <x:c r="H6" s="57"/>
    </x:row>
    <x:row r="7">
      <x:c r="A7" s="59" t="str">
        <x:v>Launch total ties</x:v>
      </x:c>
      <x:c r="B7" s="93" t="n">
        <x:f>'Launch Capital'!C12</x:f>
        <x:v>9350</x:v>
      </x:c>
      <x:c r="C7" s="93" t="n">
        <x:f>SUM('Launch Capital'!C5:C11)</x:f>
        <x:v>9350</x:v>
      </x:c>
      <x:c r="D7" s="93" t="n">
        <x:f>B7-C7</x:f>
        <x:v>0</x:v>
      </x:c>
      <x:c r="E7" s="93" t="n">
        <x:f>E7</x:f>
        <x:v>0</x:v>
      </x:c>
      <x:c r="F7" s="40" t="str">
        <x:f>IF(ABS(D7)&lt;=E7,"OK","FAIL")</x:f>
        <x:v>OK</x:v>
      </x:c>
      <x:c r="G7" s="38"/>
      <x:c r="H7" s="57"/>
    </x:row>
    <x:row r="8">
      <x:c r="A8" s="59" t="str">
        <x:v>Ad revenue formula positive</x:v>
      </x:c>
      <x:c r="B8" s="143" t="n">
        <x:f>IF('Ads ROI'!E6&gt;0,1,0)</x:f>
        <x:v>1</x:v>
      </x:c>
      <x:c r="C8" s="143" t="n">
        <x:f>C8</x:f>
        <x:v>0</x:v>
      </x:c>
      <x:c r="D8" s="143" t="n">
        <x:f>B8-C8</x:f>
        <x:v>1</x:v>
      </x:c>
      <x:c r="E8" s="143" t="n">
        <x:f>E8</x:f>
        <x:v>0</x:v>
      </x:c>
      <x:c r="F8" s="40" t="str">
        <x:f>IF(ABS(D8)&lt;=E8,"OK","FAIL")</x:f>
        <x:v>FAIL</x:v>
      </x:c>
      <x:c r="G8" s="38"/>
      <x:c r="H8" s="57"/>
    </x:row>
    <x:row r="9">
      <x:c r="A9" s="60" t="str">
        <x:v>Model status</x:v>
      </x:c>
      <x:c r="B9" s="144" t="n">
        <x:f>COUNTIF(F5:F8,"FAIL")</x:f>
        <x:v>1</x:v>
      </x:c>
      <x:c r="C9" s="144" t="n">
        <x:f>0</x:f>
        <x:v>0</x:v>
      </x:c>
      <x:c r="D9" s="144" t="n">
        <x:f>B9-C9</x:f>
        <x:v>1</x:v>
      </x:c>
      <x:c r="E9" s="144" t="n">
        <x:f>0</x:f>
        <x:v>0</x:v>
      </x:c>
      <x:c r="F9" s="145" t="str">
        <x:f>IF(B9=0,"PASS","FAIL")</x:f>
        <x:v>FAIL</x:v>
      </x:c>
      <x:c r="G9" s="62"/>
      <x:c r="H9" s="64"/>
    </x:row>
  </x:sheetData>
  <x:mergeCells>
    <x:mergeCell ref="A1:H1"/>
    <x:mergeCell ref="A2:H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4" hidden="0" customWidth="1"/>
    <x:col min="3" max="3" width="28" hidden="0" customWidth="1"/>
    <x:col min="4" max="4" width="66" hidden="0" customWidth="1"/>
    <x:col min="5" max="5" width="66" hidden="0" customWidth="1"/>
  </x:cols>
  <x:sheetData>
    <x:row r="1" ht="30" customHeight="1">
      <x:c r="A1" s="51" t="str">
        <x:v>Sources and Assumption Notes</x:v>
      </x:c>
      <x:c r="B1" s="52"/>
      <x:c r="C1" s="52"/>
      <x:c r="D1" s="52"/>
      <x:c r="E1" s="52"/>
      <x:c r="F1" s="52"/>
      <x:c r="G1" s="52"/>
      <x:c r="H1" s="53"/>
    </x:row>
    <x:row r="2" ht="22" customHeight="1">
      <x:c r="A2" s="54" t="str">
        <x:v>URLs are plain text for auditability. Ranges without public source are explicitly labeled as assumptions.</x:v>
      </x:c>
      <x:c r="B2" s="37"/>
      <x:c r="C2" s="37"/>
      <x:c r="D2" s="37"/>
      <x:c r="E2" s="37"/>
      <x:c r="F2" s="37"/>
      <x:c r="G2" s="37"/>
      <x:c r="H2" s="55"/>
    </x:row>
    <x:row r="3">
      <x:c r="A3" s="56"/>
      <x:c r="B3" s="38"/>
      <x:c r="C3" s="38"/>
      <x:c r="D3" s="38"/>
      <x:c r="E3" s="38"/>
      <x:c r="F3" s="38"/>
      <x:c r="G3" s="38"/>
      <x:c r="H3" s="57"/>
    </x:row>
    <x:row r="4" ht="34" customHeight="1">
      <x:c r="A4" s="104" t="str">
        <x:v>Item</x:v>
      </x:c>
      <x:c r="B4" s="97" t="str">
        <x:v>Value used</x:v>
      </x:c>
      <x:c r="C4" s="97" t="str">
        <x:v>Source type</x:v>
      </x:c>
      <x:c r="D4" s="97" t="str">
        <x:v>URL / Reference</x:v>
      </x:c>
      <x:c r="E4" s="98" t="str">
        <x:v>Notes</x:v>
      </x:c>
      <x:c r="F4" s="38"/>
      <x:c r="G4" s="38"/>
      <x:c r="H4" s="57"/>
    </x:row>
    <x:row r="5" ht="34" customHeight="1">
      <x:c r="A5" s="59" t="str">
        <x:v>Stripe domestic online card rate</x:v>
      </x:c>
      <x:c r="B5" s="38" t="str">
        <x:v>2.9% + $0.30</x:v>
      </x:c>
      <x:c r="C5" s="38" t="str">
        <x:v>Official</x:v>
      </x:c>
      <x:c r="D5" s="149" t="str">
        <x:v>https://stripe.com/pricing</x:v>
      </x:c>
      <x:c r="E5" s="42" t="str">
        <x:v>Used for successful online card charges.</x:v>
      </x:c>
      <x:c r="F5" s="38"/>
      <x:c r="G5" s="38"/>
      <x:c r="H5" s="57"/>
    </x:row>
    <x:row r="6" ht="34" customHeight="1">
      <x:c r="A6" s="59" t="str">
        <x:v>Stripe Billing fee</x:v>
      </x:c>
      <x:c r="B6" s="38" t="str">
        <x:v>0.7% of billing volume</x:v>
      </x:c>
      <x:c r="C6" s="38" t="str">
        <x:v>Official</x:v>
      </x:c>
      <x:c r="D6" s="149" t="str">
        <x:v>https://stripe.com/billing/pricing</x:v>
      </x:c>
      <x:c r="E6" s="42" t="str">
        <x:v>Applied to recurring subscription volume.</x:v>
      </x:c>
      <x:c r="F6" s="38"/>
      <x:c r="G6" s="38"/>
      <x:c r="H6" s="57"/>
    </x:row>
    <x:row r="7" ht="34" customHeight="1">
      <x:c r="A7" s="59" t="str">
        <x:v>AdSense RPM formula</x:v>
      </x:c>
      <x:c r="B7" s="38" t="str">
        <x:v>earnings / pageviews * 1,000</x:v>
      </x:c>
      <x:c r="C7" s="38" t="str">
        <x:v>Official</x:v>
      </x:c>
      <x:c r="D7" s="149" t="str">
        <x:v>https://support.google.com/adsense/answer/190515</x:v>
      </x:c>
      <x:c r="E7" s="42" t="str">
        <x:v>Workbook reverses formula to estimate revenue.</x:v>
      </x:c>
      <x:c r="F7" s="38"/>
      <x:c r="G7" s="38"/>
      <x:c r="H7" s="57"/>
    </x:row>
    <x:row r="8" ht="34" customHeight="1">
      <x:c r="A8" s="59" t="str">
        <x:v>AdSense earnings variability</x:v>
      </x:c>
      <x:c r="B8" s="38" t="str">
        <x:v>Traffic, content, user location, ad setup</x:v>
      </x:c>
      <x:c r="C8" s="38" t="str">
        <x:v>Official</x:v>
      </x:c>
      <x:c r="D8" s="149" t="str">
        <x:v>https://support.google.com/adsense/answer/9902</x:v>
      </x:c>
      <x:c r="E8" s="42" t="str">
        <x:v>Explains why ad revenue is modeled as range, not certainty.</x:v>
      </x:c>
      <x:c r="F8" s="38"/>
      <x:c r="G8" s="38"/>
      <x:c r="H8" s="57"/>
    </x:row>
    <x:row r="9" ht="34" customHeight="1">
      <x:c r="A9" s="59" t="str">
        <x:v>Supabase Pro</x:v>
      </x:c>
      <x:c r="B9" s="38" t="str">
        <x:v>Starts at $25/month</x:v>
      </x:c>
      <x:c r="C9" s="38" t="str">
        <x:v>Official</x:v>
      </x:c>
      <x:c r="D9" s="149" t="str">
        <x:v>https://supabase.com/pricing</x:v>
      </x:c>
      <x:c r="E9" s="42" t="str">
        <x:v>Included in launch capital infra assumptions.</x:v>
      </x:c>
      <x:c r="F9" s="38"/>
      <x:c r="G9" s="38"/>
      <x:c r="H9" s="57"/>
    </x:row>
    <x:row r="10" ht="34" customHeight="1">
      <x:c r="A10" s="59" t="str">
        <x:v>DigitalOcean Droplets</x:v>
      </x:c>
      <x:c r="B10" s="38" t="str">
        <x:v>Starting at $4/month; backup % extra</x:v>
      </x:c>
      <x:c r="C10" s="38" t="str">
        <x:v>Official</x:v>
      </x:c>
      <x:c r="D10" s="149" t="str">
        <x:v>https://www.digitalocean.com/pricing</x:v>
      </x:c>
      <x:c r="E10" s="42" t="str">
        <x:v>Used as low-end hosting anchor; production may use larger droplet.</x:v>
      </x:c>
      <x:c r="F10" s="38"/>
      <x:c r="G10" s="38"/>
      <x:c r="H10" s="57"/>
    </x:row>
    <x:row r="11" ht="34" customHeight="1">
      <x:c r="A11" s="59" t="str">
        <x:v>SendGrid free plan retired</x:v>
      </x:c>
      <x:c r="B11" s="38" t="str">
        <x:v>Paid plan required after transition</x:v>
      </x:c>
      <x:c r="C11" s="38" t="str">
        <x:v>Official</x:v>
      </x:c>
      <x:c r="D11" s="149" t="str">
        <x:v>https://www.twilio.com/en-us/changelog/sendgrid-free-plan</x:v>
      </x:c>
      <x:c r="E11" s="42" t="str">
        <x:v>Supports paid email budget line.</x:v>
      </x:c>
      <x:c r="F11" s="38"/>
      <x:c r="G11" s="38"/>
      <x:c r="H11" s="57"/>
    </x:row>
    <x:row r="12" ht="34" customHeight="1">
      <x:c r="A12" s="59" t="str">
        <x:v>hCaptcha Basic / Pro</x:v>
      </x:c>
      <x:c r="B12" s="38" t="str">
        <x:v>$0 Basic; Pro paid</x:v>
      </x:c>
      <x:c r="C12" s="38" t="str">
        <x:v>Official</x:v>
      </x:c>
      <x:c r="D12" s="149" t="str">
        <x:v>https://www.hcaptcha.com/pricing</x:v>
      </x:c>
      <x:c r="E12" s="42" t="str">
        <x:v>Use Basic initially unless bot/fraud volume requires upgrade.</x:v>
      </x:c>
      <x:c r="F12" s="38"/>
      <x:c r="G12" s="38"/>
      <x:c r="H12" s="57"/>
    </x:row>
    <x:row r="13" ht="34" customHeight="1">
      <x:c r="A13" s="59" t="str">
        <x:v>Technology CPC benchmark</x:v>
      </x:c>
      <x:c r="B13" s="38" t="str">
        <x:v>$3.80 search CPC</x:v>
      </x:c>
      <x:c r="C13" s="38" t="str">
        <x:v>Third-party benchmark</x:v>
      </x:c>
      <x:c r="D13" s="149" t="str">
        <x:v>https://usermaven.com/blog/google-ads-benchmarks</x:v>
      </x:c>
      <x:c r="E13" s="42" t="str">
        <x:v>Used as base paid-search CPC assumption.</x:v>
      </x:c>
      <x:c r="F13" s="38"/>
      <x:c r="G13" s="38"/>
      <x:c r="H13" s="57"/>
    </x:row>
    <x:row r="14" ht="34" customHeight="1">
      <x:c r="A14" s="59" t="str">
        <x:v>Launch budget ranges</x:v>
      </x:c>
      <x:c r="B14" s="38" t="str">
        <x:v>$6.5K-$10K recommended</x:v>
      </x:c>
      <x:c r="C14" s="38" t="str">
        <x:v>Internal assumption</x:v>
      </x:c>
      <x:c r="D14" s="149" t="str">
        <x:v>PatchTicker operating model</x:v>
      </x:c>
      <x:c r="E14" s="42" t="str">
        <x:v>Estimate based on 3-month infra/tool runway + controlled ad test + contingency.</x:v>
      </x:c>
      <x:c r="F14" s="38"/>
      <x:c r="G14" s="38"/>
      <x:c r="H14" s="57"/>
    </x:row>
    <x:row r="15" ht="34" customHeight="1">
      <x:c r="A15" s="60" t="str">
        <x:v>Password rotation</x:v>
      </x:c>
      <x:c r="B15" s="62" t="str">
        <x:v>Required before launch</x:v>
      </x:c>
      <x:c r="C15" s="62" t="str">
        <x:v>Operational security note</x:v>
      </x:c>
      <x:c r="D15" s="150" t="str">
        <x:v>Supabase dashboard: Database → Settings → Reset database password</x:v>
      </x:c>
      <x:c r="E15" s="63" t="str">
        <x:v>DB password was pasted in chat; treat as exposed.</x:v>
      </x:c>
      <x:c r="F15" s="62"/>
      <x:c r="G15" s="62"/>
      <x:c r="H15" s="64"/>
    </x:row>
  </x:sheetData>
  <x:mergeCells>
    <x:mergeCell ref="A1:H1"/>
    <x:mergeCell ref="A2:H2"/>
  </x:mergeCells>
  <x:pageMargins left="0.7" right="0.7" top="0.75" bottom="0.75" header="0.3" footer="0.3"/>
</x:worksheet>
</file>